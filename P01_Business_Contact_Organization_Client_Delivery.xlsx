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_Contacts" sheetId="1" r:id="rId5"/>
    <sheet state="visible" name="Status_Summary" sheetId="2" r:id="rId6"/>
    <sheet state="visible" name="Issue_Log" sheetId="3" r:id="rId7"/>
  </sheets>
  <definedNames/>
  <calcPr/>
</workbook>
</file>

<file path=xl/sharedStrings.xml><?xml version="1.0" encoding="utf-8"?>
<sst xmlns="http://schemas.openxmlformats.org/spreadsheetml/2006/main" count="1490" uniqueCount="611">
  <si>
    <t>Issue_ID</t>
  </si>
  <si>
    <t>P01 – Business Contact Organization</t>
  </si>
  <si>
    <t>Contact_ID</t>
  </si>
  <si>
    <t>Full_Name</t>
  </si>
  <si>
    <t>Company</t>
  </si>
  <si>
    <t>Issue_Type</t>
  </si>
  <si>
    <t>Job_Title</t>
  </si>
  <si>
    <t>Description</t>
  </si>
  <si>
    <t>Email</t>
  </si>
  <si>
    <t>Action_Required</t>
  </si>
  <si>
    <t>Phone</t>
  </si>
  <si>
    <t>Status</t>
  </si>
  <si>
    <t>City</t>
  </si>
  <si>
    <t>Contact_Status</t>
  </si>
  <si>
    <t>Lead_Source</t>
  </si>
  <si>
    <t>ISS-001</t>
  </si>
  <si>
    <t>Last_Contact_Date</t>
  </si>
  <si>
    <t>Client Delivery Summary</t>
  </si>
  <si>
    <t>Notes</t>
  </si>
  <si>
    <t>CNT-0010</t>
  </si>
  <si>
    <t>CNT-0001</t>
  </si>
  <si>
    <t>Duplicate ID</t>
  </si>
  <si>
    <t>Same contact; conflicting status and contact date</t>
  </si>
  <si>
    <t>Client review required</t>
  </si>
  <si>
    <t>Open</t>
  </si>
  <si>
    <t>Pat Martin</t>
  </si>
  <si>
    <t>Cedar Consulting</t>
  </si>
  <si>
    <t>Total Contacts</t>
  </si>
  <si>
    <t>Office Manager</t>
  </si>
  <si>
    <t>pat.martin1@example.com</t>
  </si>
  <si>
    <t>+44 7700 000001</t>
  </si>
  <si>
    <t>Glasgow</t>
  </si>
  <si>
    <t>Inactive</t>
  </si>
  <si>
    <t>Referral</t>
  </si>
  <si>
    <t>2026-09-18</t>
  </si>
  <si>
    <t>Send brochure</t>
  </si>
  <si>
    <t>CNT-0002</t>
  </si>
  <si>
    <t>Pat Scott</t>
  </si>
  <si>
    <t>Metro Solutions</t>
  </si>
  <si>
    <t>Sales Manager</t>
  </si>
  <si>
    <t>pat.scott2@example.com</t>
  </si>
  <si>
    <t>+44 7700 000002</t>
  </si>
  <si>
    <t>Leeds</t>
  </si>
  <si>
    <t>New</t>
  </si>
  <si>
    <t>Website</t>
  </si>
  <si>
    <t>2026-09-05</t>
  </si>
  <si>
    <t>Requested pricing</t>
  </si>
  <si>
    <t>CNT-0003</t>
  </si>
  <si>
    <t>Avery Lee</t>
  </si>
  <si>
    <t>Atlas Supply</t>
  </si>
  <si>
    <t>avery.lee3@example.com</t>
  </si>
  <si>
    <t>+44 7700 000003</t>
  </si>
  <si>
    <t>Manchester</t>
  </si>
  <si>
    <t>2026-09-14</t>
  </si>
  <si>
    <t>CNT-0004</t>
  </si>
  <si>
    <t>ROBIN BROWN</t>
  </si>
  <si>
    <t>Founder</t>
  </si>
  <si>
    <t>robin.brown4@example.com</t>
  </si>
  <si>
    <t>+44 7700 000004</t>
  </si>
  <si>
    <t>Edinburgh</t>
  </si>
  <si>
    <t>Contacted</t>
  </si>
  <si>
    <t>2026-09-04</t>
  </si>
  <si>
    <t>CNT-0005</t>
  </si>
  <si>
    <t>Casey Hall</t>
  </si>
  <si>
    <t>Summit Retail</t>
  </si>
  <si>
    <t>casey.hall5@example.com</t>
  </si>
  <si>
    <t>+44 7700 000005</t>
  </si>
  <si>
    <t>Birmingham</t>
  </si>
  <si>
    <t>Follow-up</t>
  </si>
  <si>
    <t>LinkedIn</t>
  </si>
  <si>
    <t>2026-09-20</t>
  </si>
  <si>
    <t>CNT-0006</t>
  </si>
  <si>
    <t>Quinn Walker</t>
  </si>
  <si>
    <t>Procurement Lead</t>
  </si>
  <si>
    <t>quinn.walker6@example.com</t>
  </si>
  <si>
    <t>+44 7700 000006</t>
  </si>
  <si>
    <t>London</t>
  </si>
  <si>
    <t>ISS-002</t>
  </si>
  <si>
    <t>CNT-0037</t>
  </si>
  <si>
    <t>Same ID assigned to two different contacts</t>
  </si>
  <si>
    <t>CNT-0007</t>
  </si>
  <si>
    <t>Taylor Davis</t>
  </si>
  <si>
    <t>Northstar Logistics</t>
  </si>
  <si>
    <t>HR Coordinator</t>
  </si>
  <si>
    <t>taylor.davis7@example.com</t>
  </si>
  <si>
    <t>+44 7700 000007</t>
  </si>
  <si>
    <t>ISS-003</t>
  </si>
  <si>
    <t>Open Issues</t>
  </si>
  <si>
    <t>CNT-0053</t>
  </si>
  <si>
    <t>Same contact; conflicting status, source and date</t>
  </si>
  <si>
    <t>Issue Tyğe</t>
  </si>
  <si>
    <t>Count</t>
  </si>
  <si>
    <t>ISS-004</t>
  </si>
  <si>
    <t>CNT-0016</t>
  </si>
  <si>
    <t>Missing Phone</t>
  </si>
  <si>
    <t>Phone number missing for Pat Martin</t>
  </si>
  <si>
    <t>Client to provide phone number</t>
  </si>
  <si>
    <t>2026-09-03</t>
  </si>
  <si>
    <t>CNT-0008</t>
  </si>
  <si>
    <t>Taylor Miller</t>
  </si>
  <si>
    <t>taylor.miller8@example.com</t>
  </si>
  <si>
    <t>+44 7700 000008</t>
  </si>
  <si>
    <t>CNT-0009</t>
  </si>
  <si>
    <t>Alex Young</t>
  </si>
  <si>
    <t>Horizon Services</t>
  </si>
  <si>
    <t>alex.young9@example.com</t>
  </si>
  <si>
    <t>Issue Type</t>
  </si>
  <si>
    <t>+44 7700 000009</t>
  </si>
  <si>
    <t>Bristol</t>
  </si>
  <si>
    <t>2026-09-23</t>
  </si>
  <si>
    <t>Morgan Young</t>
  </si>
  <si>
    <t>morgan.young10@example.com</t>
  </si>
  <si>
    <t>+44 7700 000010</t>
  </si>
  <si>
    <t>ISS-005</t>
  </si>
  <si>
    <t>CNT-0039</t>
  </si>
  <si>
    <t>Phone number missing for Casey Walker</t>
  </si>
  <si>
    <t>CNT-0011</t>
  </si>
  <si>
    <t>Sam Wilson</t>
  </si>
  <si>
    <t>Urban Field</t>
  </si>
  <si>
    <t>sam.wilson11@example.com</t>
  </si>
  <si>
    <t>+44 7700 000011</t>
  </si>
  <si>
    <t>Active</t>
  </si>
  <si>
    <t>CNT-0012</t>
  </si>
  <si>
    <t>BLAIR WILSON</t>
  </si>
  <si>
    <t>ISS-006</t>
  </si>
  <si>
    <t>Silver Oak</t>
  </si>
  <si>
    <t>CNT-0068</t>
  </si>
  <si>
    <t>Marketing Specialist</t>
  </si>
  <si>
    <t>blair.wilson12@example.com</t>
  </si>
  <si>
    <t>+44 7700 000012</t>
  </si>
  <si>
    <t>Phone number missing for Alex King</t>
  </si>
  <si>
    <t>Missing Status</t>
  </si>
  <si>
    <t>2026-09-26</t>
  </si>
  <si>
    <t>Potential partner</t>
  </si>
  <si>
    <t>CNT-0013</t>
  </si>
  <si>
    <t>Drew King</t>
  </si>
  <si>
    <t>Operations Lead</t>
  </si>
  <si>
    <t>drew.king13@example.com</t>
  </si>
  <si>
    <t>ISS-007</t>
  </si>
  <si>
    <t>+44 7700 000013</t>
  </si>
  <si>
    <t>CNT-0096</t>
  </si>
  <si>
    <t>Phone number missing for Alex Brown</t>
  </si>
  <si>
    <t>2026-09-07</t>
  </si>
  <si>
    <t>CNT-0014</t>
  </si>
  <si>
    <t>Total Issues</t>
  </si>
  <si>
    <t>Sam Lee</t>
  </si>
  <si>
    <t>sam.lee14@example.com</t>
  </si>
  <si>
    <t>+44 7700 000014</t>
  </si>
  <si>
    <t>2026-09-16</t>
  </si>
  <si>
    <t>CNT-0015</t>
  </si>
  <si>
    <t>Morgan Wilson</t>
  </si>
  <si>
    <t>morgan.wilson15@example.com</t>
  </si>
  <si>
    <t>+44 7700 000015</t>
  </si>
  <si>
    <t>ISS-008</t>
  </si>
  <si>
    <t>CNT-0122</t>
  </si>
  <si>
    <t>pat.martin16@example.com</t>
  </si>
  <si>
    <t>Phone number missing for Taylor Clark</t>
  </si>
  <si>
    <t>2026-09-21</t>
  </si>
  <si>
    <t>ISS-009</t>
  </si>
  <si>
    <t>CNT-0017</t>
  </si>
  <si>
    <t>CNT-0027</t>
  </si>
  <si>
    <t>Parker Moore</t>
  </si>
  <si>
    <t>Contact status is blank</t>
  </si>
  <si>
    <t>Client to confirm status</t>
  </si>
  <si>
    <t>parker.moore17@example.com</t>
  </si>
  <si>
    <t>+44 7700 000017</t>
  </si>
  <si>
    <t>ISS-010</t>
  </si>
  <si>
    <t>CNT-0060</t>
  </si>
  <si>
    <t>2026-09-17</t>
  </si>
  <si>
    <t>CNT-0018</t>
  </si>
  <si>
    <t>Robin Young</t>
  </si>
  <si>
    <t>Account Executive</t>
  </si>
  <si>
    <t>robin.young18@example.com</t>
  </si>
  <si>
    <t>ISS-011</t>
  </si>
  <si>
    <t>+44 7700 000018</t>
  </si>
  <si>
    <t>CNT-0085</t>
  </si>
  <si>
    <t>2026-09-28</t>
  </si>
  <si>
    <t>CNT-0019</t>
  </si>
  <si>
    <t>ISS-012</t>
  </si>
  <si>
    <t>Quinn Wilson</t>
  </si>
  <si>
    <t>BluePeak Media</t>
  </si>
  <si>
    <t>CNT-0120</t>
  </si>
  <si>
    <t>quinn.wilson19@example.com</t>
  </si>
  <si>
    <t>+44 7700 000019</t>
  </si>
  <si>
    <t>CNT-0020</t>
  </si>
  <si>
    <t>Sam Brown</t>
  </si>
  <si>
    <t>Maple Works</t>
  </si>
  <si>
    <t>sam.brown20@example.com</t>
  </si>
  <si>
    <t>+44 7700 000020</t>
  </si>
  <si>
    <t>2026-09-06</t>
  </si>
  <si>
    <t>CNT-0021</t>
  </si>
  <si>
    <t>Drew Brown</t>
  </si>
  <si>
    <t>drew.brown21@example.com</t>
  </si>
  <si>
    <t>+44 7700 000021</t>
  </si>
  <si>
    <t>2026-09-02</t>
  </si>
  <si>
    <t>CNT-0022</t>
  </si>
  <si>
    <t>Robin Davis</t>
  </si>
  <si>
    <t>robin.davis22@example.com</t>
  </si>
  <si>
    <t>+44 7700 000022</t>
  </si>
  <si>
    <t>Liverpool</t>
  </si>
  <si>
    <t>CNT-0023</t>
  </si>
  <si>
    <t>Redstone Group</t>
  </si>
  <si>
    <t>sam.lee23@example.com</t>
  </si>
  <si>
    <t>+44 7700 000023</t>
  </si>
  <si>
    <t>2026-09-01</t>
  </si>
  <si>
    <t>CNT-0024</t>
  </si>
  <si>
    <t>Chris Walker</t>
  </si>
  <si>
    <t>chris.walker24@example.com</t>
  </si>
  <si>
    <t>+44 7700 000024</t>
  </si>
  <si>
    <t>Issue Count Validation</t>
  </si>
  <si>
    <t>CNT-0025</t>
  </si>
  <si>
    <t>Hayden Moore</t>
  </si>
  <si>
    <t>Delivery Notes</t>
  </si>
  <si>
    <t>hayden.moore25@example.com</t>
  </si>
  <si>
    <t>+44 7700 000025</t>
  </si>
  <si>
    <t>130 contact records retained. Names and email addresses standardized. 12 issues documented for client review. No duplicate records deleted or missing information guessed.</t>
  </si>
  <si>
    <t>CNT-0026</t>
  </si>
  <si>
    <t>Jamie Clark</t>
  </si>
  <si>
    <t>jamie.clark26@example.com</t>
  </si>
  <si>
    <t>+44 7700 000026</t>
  </si>
  <si>
    <t>Pat King</t>
  </si>
  <si>
    <t>pat.king27@example.com</t>
  </si>
  <si>
    <t>+44 7700 000027</t>
  </si>
  <si>
    <t>CNT-0028</t>
  </si>
  <si>
    <t>Riley Davis</t>
  </si>
  <si>
    <t>Brightline Tech</t>
  </si>
  <si>
    <t>riley.davis28@example.com</t>
  </si>
  <si>
    <t>+44 7700 000028</t>
  </si>
  <si>
    <t>CNT-0029</t>
  </si>
  <si>
    <t>Taylor Scott</t>
  </si>
  <si>
    <t>taylor.scott29@example.com</t>
  </si>
  <si>
    <t>+44 7700 000029</t>
  </si>
  <si>
    <t>2026-09-27</t>
  </si>
  <si>
    <t>CNT-0030</t>
  </si>
  <si>
    <t>ROBIN SMITH</t>
  </si>
  <si>
    <t>robin.smith30@example.com</t>
  </si>
  <si>
    <t>+44 7700 000030</t>
  </si>
  <si>
    <t>CNT-0031</t>
  </si>
  <si>
    <t>Riley Lee</t>
  </si>
  <si>
    <t>riley.lee31@example.com</t>
  </si>
  <si>
    <t>+44 7700 000031</t>
  </si>
  <si>
    <t>2026-09-19</t>
  </si>
  <si>
    <t>CNT-0032</t>
  </si>
  <si>
    <t>Sam King</t>
  </si>
  <si>
    <t>sam.king32@example.com</t>
  </si>
  <si>
    <t>+44 7700 000032</t>
  </si>
  <si>
    <t>london</t>
  </si>
  <si>
    <t>2026-09-10</t>
  </si>
  <si>
    <t>CNT-0033</t>
  </si>
  <si>
    <t>Chris Green</t>
  </si>
  <si>
    <t>chris.green33@example.com</t>
  </si>
  <si>
    <t>+44 7700 000033</t>
  </si>
  <si>
    <t>CNT-0034</t>
  </si>
  <si>
    <t>Hayden Clark</t>
  </si>
  <si>
    <t>hayden.clark34@example.com</t>
  </si>
  <si>
    <t>+44 7700 000034</t>
  </si>
  <si>
    <t>2026-09-12</t>
  </si>
  <si>
    <t>CNT-0035</t>
  </si>
  <si>
    <t>Quinn Young</t>
  </si>
  <si>
    <t>quinn.young35@example.com</t>
  </si>
  <si>
    <t>+44 7700 000035</t>
  </si>
  <si>
    <t>CNT-0036</t>
  </si>
  <si>
    <t>Quinn Martin</t>
  </si>
  <si>
    <t>quinn.martin36@example.com</t>
  </si>
  <si>
    <t>+44 7700 000036</t>
  </si>
  <si>
    <t>Quinn Smith</t>
  </si>
  <si>
    <t>quinn.smith37@example.com</t>
  </si>
  <si>
    <t>+44 7700 000037</t>
  </si>
  <si>
    <t>CNT-0038</t>
  </si>
  <si>
    <t>Alex Brown</t>
  </si>
  <si>
    <t>alex.brown38@example.com</t>
  </si>
  <si>
    <t>+44 7700 000038</t>
  </si>
  <si>
    <t>2026-09-09</t>
  </si>
  <si>
    <t>Casey Walker</t>
  </si>
  <si>
    <t>casey.walker39@example.com</t>
  </si>
  <si>
    <t>CNT-0040</t>
  </si>
  <si>
    <t>Riley Hall</t>
  </si>
  <si>
    <t>riley.hall40@example.com</t>
  </si>
  <si>
    <t>+44 7700 000040</t>
  </si>
  <si>
    <t>CNT-0041</t>
  </si>
  <si>
    <t>Chris Miller</t>
  </si>
  <si>
    <t>chris.miller41@example.com</t>
  </si>
  <si>
    <t>+44 7700 000041</t>
  </si>
  <si>
    <t>CNT-0042</t>
  </si>
  <si>
    <t>TAYLOR BROWN</t>
  </si>
  <si>
    <t>taylor.brown42@example.com</t>
  </si>
  <si>
    <t>+44 7700 000042</t>
  </si>
  <si>
    <t>CNT-0043</t>
  </si>
  <si>
    <t>Jamie Martin</t>
  </si>
  <si>
    <t>jamie.martin43@example.com</t>
  </si>
  <si>
    <t>+44 7700 000043</t>
  </si>
  <si>
    <t>CNT-0044</t>
  </si>
  <si>
    <t>Riley Young</t>
  </si>
  <si>
    <t>riley.young44@example.com</t>
  </si>
  <si>
    <t>+44 7700 000044</t>
  </si>
  <si>
    <t>2026-09-08</t>
  </si>
  <si>
    <t>CNT-0045</t>
  </si>
  <si>
    <t>Casey Green</t>
  </si>
  <si>
    <t>casey.green45@example.com</t>
  </si>
  <si>
    <t>+44 7700 000045</t>
  </si>
  <si>
    <t>CNT-0046</t>
  </si>
  <si>
    <t>Sam Moore</t>
  </si>
  <si>
    <t>sam.moore46@example.com</t>
  </si>
  <si>
    <t>+44 7700 000046</t>
  </si>
  <si>
    <t>CNT-0047</t>
  </si>
  <si>
    <t>Parker Scott</t>
  </si>
  <si>
    <t>parker.scott47@example.com</t>
  </si>
  <si>
    <t>+44 7700 000047</t>
  </si>
  <si>
    <t>CNT-0048</t>
  </si>
  <si>
    <t>Quinn King</t>
  </si>
  <si>
    <t>quinn.king48@example.com</t>
  </si>
  <si>
    <t>+44 7700 000048</t>
  </si>
  <si>
    <t>CNT-0049</t>
  </si>
  <si>
    <t>Cameron Miller</t>
  </si>
  <si>
    <t>cameron.miller49@example.com</t>
  </si>
  <si>
    <t>+44 7700 000049</t>
  </si>
  <si>
    <t>CNT-0050</t>
  </si>
  <si>
    <t>Taylor Brown</t>
  </si>
  <si>
    <t>taylor.brown50@example.com</t>
  </si>
  <si>
    <t>+44 7700 000050</t>
  </si>
  <si>
    <t>2026-09-11</t>
  </si>
  <si>
    <t>CNT-0051</t>
  </si>
  <si>
    <t>Alex Moore</t>
  </si>
  <si>
    <t>alex.moore51@example.com</t>
  </si>
  <si>
    <t>+44 7700 000051</t>
  </si>
  <si>
    <t>CNT-0052</t>
  </si>
  <si>
    <t>Quinn Davis</t>
  </si>
  <si>
    <t>quinn.davis52@example.com</t>
  </si>
  <si>
    <t>+44 7700 000052</t>
  </si>
  <si>
    <t>quinn.wilson53@example.com</t>
  </si>
  <si>
    <t>+44 7700 000053</t>
  </si>
  <si>
    <t>CNT-0054</t>
  </si>
  <si>
    <t>Reese Clark</t>
  </si>
  <si>
    <t>reese.clark54@example.com</t>
  </si>
  <si>
    <t>+44 7700 000054</t>
  </si>
  <si>
    <t>CNT-0055</t>
  </si>
  <si>
    <t>Jamie Scott</t>
  </si>
  <si>
    <t>jamie.scott55@example.com</t>
  </si>
  <si>
    <t>+44 7700 000055</t>
  </si>
  <si>
    <t>CNT-0056</t>
  </si>
  <si>
    <t>Dana Smith</t>
  </si>
  <si>
    <t>dana.smith56@example.com</t>
  </si>
  <si>
    <t>+44 7700 000056</t>
  </si>
  <si>
    <t>2026-09-22</t>
  </si>
  <si>
    <t>CNT-0057</t>
  </si>
  <si>
    <t>Casey Miller</t>
  </si>
  <si>
    <t>casey.miller57@example.com</t>
  </si>
  <si>
    <t>+44 7700 000057</t>
  </si>
  <si>
    <t>CNT-0058</t>
  </si>
  <si>
    <t>Casey Clark</t>
  </si>
  <si>
    <t>casey.clark58@example.com</t>
  </si>
  <si>
    <t>+44 7700 000058</t>
  </si>
  <si>
    <t>CNT-0059</t>
  </si>
  <si>
    <t>Reese Martin</t>
  </si>
  <si>
    <t>reese.martin59@example.com</t>
  </si>
  <si>
    <t>+44 7700 000059</t>
  </si>
  <si>
    <t>Alex Smith</t>
  </si>
  <si>
    <t>alex.smith60@example.com</t>
  </si>
  <si>
    <t>+44 7700 000060</t>
  </si>
  <si>
    <t>CNT-0061</t>
  </si>
  <si>
    <t>Blair Hall</t>
  </si>
  <si>
    <t>blair.hall61@example.com</t>
  </si>
  <si>
    <t>+44 7700 000061</t>
  </si>
  <si>
    <t>CNT-0062</t>
  </si>
  <si>
    <t>Taylor Young</t>
  </si>
  <si>
    <t>taylor.young62@example.com</t>
  </si>
  <si>
    <t>+44 7700 000062</t>
  </si>
  <si>
    <t>CNT-0063</t>
  </si>
  <si>
    <t>MORGAN HALL</t>
  </si>
  <si>
    <t>morgan.hall63@example.com</t>
  </si>
  <si>
    <t>+44 7700 000063</t>
  </si>
  <si>
    <t>CNT-0064</t>
  </si>
  <si>
    <t>Blair Smith</t>
  </si>
  <si>
    <t>blair.smith64@example.com</t>
  </si>
  <si>
    <t>+44 7700 000064</t>
  </si>
  <si>
    <t>CNT-0065</t>
  </si>
  <si>
    <t>Jordan Scott</t>
  </si>
  <si>
    <t>jordan.scott65@example.com</t>
  </si>
  <si>
    <t>+44 7700 000065</t>
  </si>
  <si>
    <t>birmingham</t>
  </si>
  <si>
    <t>2026-09-15</t>
  </si>
  <si>
    <t>CNT-0066</t>
  </si>
  <si>
    <t>Riley Wilson</t>
  </si>
  <si>
    <t>riley.wilson66@example.com</t>
  </si>
  <si>
    <t>+44 7700 000066</t>
  </si>
  <si>
    <t>CNT-0067</t>
  </si>
  <si>
    <t>Quinn Scott</t>
  </si>
  <si>
    <t>quinn.scott67@example.com</t>
  </si>
  <si>
    <t>+44 7700 000067</t>
  </si>
  <si>
    <t>Alex King</t>
  </si>
  <si>
    <t>alex.king68@example.com</t>
  </si>
  <si>
    <t>CNT-0069</t>
  </si>
  <si>
    <t>Jamie Moore</t>
  </si>
  <si>
    <t>jamie.moore69@example.com</t>
  </si>
  <si>
    <t>+44 7700 000069</t>
  </si>
  <si>
    <t>CNT-0070</t>
  </si>
  <si>
    <t>Casey Young</t>
  </si>
  <si>
    <t>casey.young70@example.com</t>
  </si>
  <si>
    <t>+44 7700 000070</t>
  </si>
  <si>
    <t>CNT-0071</t>
  </si>
  <si>
    <t>Jordan Miller</t>
  </si>
  <si>
    <t>jordan.miller71@example.com</t>
  </si>
  <si>
    <t>+44 7700 000071</t>
  </si>
  <si>
    <t>CNT-0072</t>
  </si>
  <si>
    <t>quinn.scott72@example.com</t>
  </si>
  <si>
    <t>+44 7700 000072</t>
  </si>
  <si>
    <t>CNT-0073</t>
  </si>
  <si>
    <t>Alex Green</t>
  </si>
  <si>
    <t>alex.green73@example.com</t>
  </si>
  <si>
    <t>+44 7700 000073</t>
  </si>
  <si>
    <t>CNT-0074</t>
  </si>
  <si>
    <t>Parker Martin</t>
  </si>
  <si>
    <t>parker.martin74@example.com</t>
  </si>
  <si>
    <t>+44 7700 000074</t>
  </si>
  <si>
    <t>CNT-0075</t>
  </si>
  <si>
    <t>Robin King</t>
  </si>
  <si>
    <t>robin.king75@example.com</t>
  </si>
  <si>
    <t>+44 7700 000075</t>
  </si>
  <si>
    <t>CNT-0076</t>
  </si>
  <si>
    <t>Robin Martin</t>
  </si>
  <si>
    <t>robin.martin76@example.com</t>
  </si>
  <si>
    <t>+44 7700 000076</t>
  </si>
  <si>
    <t>CNT-0077</t>
  </si>
  <si>
    <t>Dana Moore</t>
  </si>
  <si>
    <t>dana.moore77@example.com</t>
  </si>
  <si>
    <t>+44 7700 000077</t>
  </si>
  <si>
    <t>CNT-0078</t>
  </si>
  <si>
    <t>Parker Brown</t>
  </si>
  <si>
    <t>parker.brown78@example.com</t>
  </si>
  <si>
    <t>+44 7700 000078</t>
  </si>
  <si>
    <t>CNT-0079</t>
  </si>
  <si>
    <t>Blair Green</t>
  </si>
  <si>
    <t>blair.green79@example.com</t>
  </si>
  <si>
    <t>+44 7700 000079</t>
  </si>
  <si>
    <t>CNT-0080</t>
  </si>
  <si>
    <t>Taylor Clark</t>
  </si>
  <si>
    <t>taylor.clark80@example.com</t>
  </si>
  <si>
    <t>+44 7700 000080</t>
  </si>
  <si>
    <t>CNT-0081</t>
  </si>
  <si>
    <t>chris.walker81@example.com</t>
  </si>
  <si>
    <t>+44 7700 000081</t>
  </si>
  <si>
    <t>CNT-0082</t>
  </si>
  <si>
    <t>Dana Wilson</t>
  </si>
  <si>
    <t>dana.wilson82@example.com</t>
  </si>
  <si>
    <t>+44 7700 000082</t>
  </si>
  <si>
    <t>CNT-0083</t>
  </si>
  <si>
    <t>Hayden Hall</t>
  </si>
  <si>
    <t>hayden.hall83@example.com</t>
  </si>
  <si>
    <t>+44 7700 000083</t>
  </si>
  <si>
    <t>2026-09-25</t>
  </si>
  <si>
    <t>CNT-0084</t>
  </si>
  <si>
    <t>pat.scott84@example.com</t>
  </si>
  <si>
    <t>+44 7700 000084</t>
  </si>
  <si>
    <t>Hayden Green</t>
  </si>
  <si>
    <t>hayden.green85@example.com</t>
  </si>
  <si>
    <t>+44 7700 000085</t>
  </si>
  <si>
    <t>CNT-0086</t>
  </si>
  <si>
    <t>Dana Scott</t>
  </si>
  <si>
    <t>dana.scott86@example.com</t>
  </si>
  <si>
    <t>+44 7700 000086</t>
  </si>
  <si>
    <t>CNT-0087</t>
  </si>
  <si>
    <t>Cameron Clark</t>
  </si>
  <si>
    <t>cameron.clark87@example.com</t>
  </si>
  <si>
    <t>+44 7700 000087</t>
  </si>
  <si>
    <t>CNT-0088</t>
  </si>
  <si>
    <t>Morgan Moore</t>
  </si>
  <si>
    <t>morgan.moore88@example.com</t>
  </si>
  <si>
    <t>+44 7700 000088</t>
  </si>
  <si>
    <t>2026-09-13</t>
  </si>
  <si>
    <t>CNT-0089</t>
  </si>
  <si>
    <t>PARKER WALKER</t>
  </si>
  <si>
    <t>parker.walker89@example.com</t>
  </si>
  <si>
    <t>+44 7700 000089</t>
  </si>
  <si>
    <t>CNT-0090</t>
  </si>
  <si>
    <t>Taylor Hall</t>
  </si>
  <si>
    <t>taylor.hall90@example.com</t>
  </si>
  <si>
    <t>+44 7700 000090</t>
  </si>
  <si>
    <t>CNT-0091</t>
  </si>
  <si>
    <t>jamie.scott91@example.com</t>
  </si>
  <si>
    <t>+44 7700 000091</t>
  </si>
  <si>
    <t>CNT-0092</t>
  </si>
  <si>
    <t>Robin Scott</t>
  </si>
  <si>
    <t>robin.scott92@example.com</t>
  </si>
  <si>
    <t>+44 7700 000092</t>
  </si>
  <si>
    <t>CNT-0093</t>
  </si>
  <si>
    <t>Sam Davis</t>
  </si>
  <si>
    <t>sam.davis93@example.com</t>
  </si>
  <si>
    <t>+44 7700 000093</t>
  </si>
  <si>
    <t>CNT-0094</t>
  </si>
  <si>
    <t>Casey Wilson</t>
  </si>
  <si>
    <t>casey.wilson94@example.com</t>
  </si>
  <si>
    <t>+44 7700 000094</t>
  </si>
  <si>
    <t>CNT-0095</t>
  </si>
  <si>
    <t>Morgan Martin</t>
  </si>
  <si>
    <t>morgan.martin95@example.com</t>
  </si>
  <si>
    <t>+44 7700 000095</t>
  </si>
  <si>
    <t>alex.brown96@example.com</t>
  </si>
  <si>
    <t>CNT-0097</t>
  </si>
  <si>
    <t>Pat Walker</t>
  </si>
  <si>
    <t>pat.walker97@example.com</t>
  </si>
  <si>
    <t>+44 7700 000097</t>
  </si>
  <si>
    <t>CNT-0098</t>
  </si>
  <si>
    <t>Jordan Clark</t>
  </si>
  <si>
    <t>jordan.clark98@example.com</t>
  </si>
  <si>
    <t>+44 7700 000098</t>
  </si>
  <si>
    <t>2026-09-24</t>
  </si>
  <si>
    <t>CNT-0099</t>
  </si>
  <si>
    <t>parker.moore99@example.com</t>
  </si>
  <si>
    <t>+44 7700 000099</t>
  </si>
  <si>
    <t>manchester</t>
  </si>
  <si>
    <t>CNT-0100</t>
  </si>
  <si>
    <t>Robin Walker</t>
  </si>
  <si>
    <t>robin.walker100@example.com</t>
  </si>
  <si>
    <t>+44 7700 000100</t>
  </si>
  <si>
    <t>CNT-0101</t>
  </si>
  <si>
    <t>Dana Clark</t>
  </si>
  <si>
    <t>dana.clark101@example.com</t>
  </si>
  <si>
    <t>+44 7700 000101</t>
  </si>
  <si>
    <t>CNT-0102</t>
  </si>
  <si>
    <t>Hayden Brown</t>
  </si>
  <si>
    <t>hayden.brown102@example.com</t>
  </si>
  <si>
    <t>+44 7700 000102</t>
  </si>
  <si>
    <t>CNT-0103</t>
  </si>
  <si>
    <t>Parker Lee</t>
  </si>
  <si>
    <t>parker.lee103@example.com</t>
  </si>
  <si>
    <t>+44 7700 000103</t>
  </si>
  <si>
    <t>CNT-0104</t>
  </si>
  <si>
    <t>Riley Clark</t>
  </si>
  <si>
    <t>riley.clark104@example.com</t>
  </si>
  <si>
    <t>+44 7700 000104</t>
  </si>
  <si>
    <t>CNT-0105</t>
  </si>
  <si>
    <t>Dana Walker</t>
  </si>
  <si>
    <t>dana.walker105@example.com</t>
  </si>
  <si>
    <t>+44 7700 000105</t>
  </si>
  <si>
    <t>CNT-0107</t>
  </si>
  <si>
    <t>sam.lee107@example.com</t>
  </si>
  <si>
    <t>+44 7700 000107</t>
  </si>
  <si>
    <t>CNT-0108</t>
  </si>
  <si>
    <t>Pat Davis</t>
  </si>
  <si>
    <t>pat.davis108@example.com</t>
  </si>
  <si>
    <t>+44 7700 000108</t>
  </si>
  <si>
    <t>CNT-0109</t>
  </si>
  <si>
    <t>hayden.clark109@example.com</t>
  </si>
  <si>
    <t>+44 7700 000109</t>
  </si>
  <si>
    <t>CNT-0110</t>
  </si>
  <si>
    <t>JORDAN HALL</t>
  </si>
  <si>
    <t>jordan.hall110@example.com</t>
  </si>
  <si>
    <t>+44 7700 000110</t>
  </si>
  <si>
    <t>CNT-0111</t>
  </si>
  <si>
    <t>Quinn Brown</t>
  </si>
  <si>
    <t>quinn.brown111@example.com</t>
  </si>
  <si>
    <t>+44 7700 000111</t>
  </si>
  <si>
    <t>CNT-0113</t>
  </si>
  <si>
    <t>Cameron Davis</t>
  </si>
  <si>
    <t>cameron.davis113@example.com</t>
  </si>
  <si>
    <t>+44 7700 000113</t>
  </si>
  <si>
    <t>CNT-0114</t>
  </si>
  <si>
    <t>Jordan Green</t>
  </si>
  <si>
    <t>jordan.green114@example.com</t>
  </si>
  <si>
    <t>+44 7700 000114</t>
  </si>
  <si>
    <t>CNT-0115</t>
  </si>
  <si>
    <t>Blair Brown</t>
  </si>
  <si>
    <t>blair.brown115@example.com</t>
  </si>
  <si>
    <t>+44 7700 000115</t>
  </si>
  <si>
    <t>CNT-0116</t>
  </si>
  <si>
    <t>Avery Wilson</t>
  </si>
  <si>
    <t>avery.wilson116@example.com</t>
  </si>
  <si>
    <t>+44 7700 000116</t>
  </si>
  <si>
    <t>CNT-0117</t>
  </si>
  <si>
    <t>sam.davis117@example.com</t>
  </si>
  <si>
    <t>+44 7700 000117</t>
  </si>
  <si>
    <t>CNT-0118</t>
  </si>
  <si>
    <t>Cameron King</t>
  </si>
  <si>
    <t>cameron.king118@example.com</t>
  </si>
  <si>
    <t>+44 7700 000118</t>
  </si>
  <si>
    <t>CNT-0119</t>
  </si>
  <si>
    <t>Jordan Wilson</t>
  </si>
  <si>
    <t>jordan.wilson119@example.com</t>
  </si>
  <si>
    <t>+44 7700 000119</t>
  </si>
  <si>
    <t>reese.martin120@example.com</t>
  </si>
  <si>
    <t>+44 7700 000120</t>
  </si>
  <si>
    <t>CNT-0121</t>
  </si>
  <si>
    <t>chris.miller121@example.com</t>
  </si>
  <si>
    <t>+44 7700 000121</t>
  </si>
  <si>
    <t>taylor.clark122@example.com</t>
  </si>
  <si>
    <t>CNT-0123</t>
  </si>
  <si>
    <t>drew.brown123@example.com</t>
  </si>
  <si>
    <t>+44 7700 000123</t>
  </si>
  <si>
    <t>CNT-0124</t>
  </si>
  <si>
    <t>ROBIN WALKER</t>
  </si>
  <si>
    <t>robin.walker124@example.com</t>
  </si>
  <si>
    <t>+44 7700 000124</t>
  </si>
  <si>
    <t>CNT-0125</t>
  </si>
  <si>
    <t>Chris Smith</t>
  </si>
  <si>
    <t>chris.smith125@example.com</t>
  </si>
  <si>
    <t>+44 7700 000125</t>
  </si>
  <si>
    <t>CNT-0127</t>
  </si>
  <si>
    <t>Casey Lee</t>
  </si>
  <si>
    <t>casey.lee127@example.com</t>
  </si>
  <si>
    <t>+44 7700 000127</t>
  </si>
  <si>
    <t>CNT-0128</t>
  </si>
  <si>
    <t>jamie.scott128@example.com</t>
  </si>
  <si>
    <t>+44 7700 000128</t>
  </si>
  <si>
    <t>CNT-0129</t>
  </si>
  <si>
    <t>Robin Miller</t>
  </si>
  <si>
    <t>robin.miller129@example.com</t>
  </si>
  <si>
    <t>+44 7700 000129</t>
  </si>
  <si>
    <t>CNT-0130</t>
  </si>
  <si>
    <t>Alex Martin</t>
  </si>
  <si>
    <t>alex.martin130@example.com</t>
  </si>
  <si>
    <t>+44 7700 000130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</si>
</sst>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1.0"/>
      <color rgb="FFFFFFFF"/>
      <name val="Carlito"/>
    </font>
    <font>
      <b/>
      <color theme="1"/>
      <name val="Carlito"/>
      <scheme val="minor"/>
    </font>
    <font>
      <b/>
      <sz val="16.0"/>
      <color theme="1"/>
      <name val="Carlito"/>
      <scheme val="minor"/>
    </font>
    <font>
      <color theme="1"/>
      <name val="Carlito"/>
      <scheme val="minor"/>
    </font>
    <font>
      <i/>
      <color theme="1"/>
      <name val="Carli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0" fillId="4" fontId="4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0"/>
    <col customWidth="1" min="2" max="2" width="24.0"/>
    <col customWidth="1" min="3" max="3" width="26.0"/>
    <col customWidth="1" min="4" max="4" width="24.0"/>
    <col customWidth="1" min="5" max="5" width="34.0"/>
    <col customWidth="1" min="6" max="6" width="20.0"/>
    <col customWidth="1" min="7" max="7" width="18.0"/>
    <col customWidth="1" min="8" max="8" width="20.0"/>
    <col customWidth="1" min="9" max="9" width="18.0"/>
    <col customWidth="1" min="10" max="10" width="22.0"/>
    <col customWidth="1" min="11" max="11" width="26.0"/>
  </cols>
  <sheetData>
    <row r="1" ht="30.0" customHeight="1">
      <c r="A1" s="1" t="s">
        <v>2</v>
      </c>
      <c r="B1" s="1" t="s">
        <v>3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13</v>
      </c>
      <c r="I1" s="1" t="s">
        <v>14</v>
      </c>
      <c r="J1" s="1" t="s">
        <v>16</v>
      </c>
      <c r="K1" s="1" t="s">
        <v>18</v>
      </c>
    </row>
    <row r="2">
      <c r="A2" s="6" t="s">
        <v>20</v>
      </c>
      <c r="B2" s="6" t="s">
        <v>25</v>
      </c>
      <c r="C2" s="6" t="s">
        <v>26</v>
      </c>
      <c r="D2" s="6" t="s">
        <v>28</v>
      </c>
      <c r="E2" s="6" t="s">
        <v>29</v>
      </c>
      <c r="F2" s="6" t="s">
        <v>30</v>
      </c>
      <c r="G2" s="6" t="s">
        <v>31</v>
      </c>
      <c r="H2" s="6" t="s">
        <v>32</v>
      </c>
      <c r="I2" s="6" t="s">
        <v>33</v>
      </c>
      <c r="J2" s="6" t="s">
        <v>34</v>
      </c>
      <c r="K2" s="6" t="s">
        <v>35</v>
      </c>
    </row>
    <row r="3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43</v>
      </c>
      <c r="I3" s="6" t="s">
        <v>44</v>
      </c>
      <c r="J3" s="6" t="s">
        <v>45</v>
      </c>
      <c r="K3" s="6" t="s">
        <v>46</v>
      </c>
    </row>
    <row r="4">
      <c r="A4" s="6" t="s">
        <v>47</v>
      </c>
      <c r="B4" s="6" t="s">
        <v>48</v>
      </c>
      <c r="C4" s="6" t="s">
        <v>49</v>
      </c>
      <c r="D4" s="6" t="s">
        <v>39</v>
      </c>
      <c r="E4" s="6" t="s">
        <v>50</v>
      </c>
      <c r="F4" s="6" t="s">
        <v>51</v>
      </c>
      <c r="G4" s="6" t="s">
        <v>52</v>
      </c>
      <c r="H4" s="6" t="s">
        <v>32</v>
      </c>
      <c r="I4" s="6" t="s">
        <v>8</v>
      </c>
      <c r="J4" s="6" t="s">
        <v>53</v>
      </c>
      <c r="K4" s="6" t="s">
        <v>35</v>
      </c>
    </row>
    <row r="5">
      <c r="A5" s="6" t="s">
        <v>54</v>
      </c>
      <c r="B5" s="6" t="s">
        <v>55</v>
      </c>
      <c r="C5" s="6" t="s">
        <v>38</v>
      </c>
      <c r="D5" s="6" t="s">
        <v>56</v>
      </c>
      <c r="E5" s="6" t="s">
        <v>57</v>
      </c>
      <c r="F5" s="6" t="s">
        <v>58</v>
      </c>
      <c r="G5" s="6" t="s">
        <v>59</v>
      </c>
      <c r="H5" s="6" t="s">
        <v>60</v>
      </c>
      <c r="I5" s="6" t="s">
        <v>8</v>
      </c>
      <c r="J5" s="6" t="s">
        <v>61</v>
      </c>
    </row>
    <row r="6">
      <c r="A6" s="6" t="s">
        <v>62</v>
      </c>
      <c r="B6" s="6" t="s">
        <v>63</v>
      </c>
      <c r="C6" s="6" t="s">
        <v>64</v>
      </c>
      <c r="D6" s="6" t="s">
        <v>39</v>
      </c>
      <c r="E6" s="6" t="s">
        <v>65</v>
      </c>
      <c r="F6" s="6" t="s">
        <v>66</v>
      </c>
      <c r="G6" s="6" t="s">
        <v>67</v>
      </c>
      <c r="H6" s="6" t="s">
        <v>68</v>
      </c>
      <c r="I6" s="6" t="s">
        <v>69</v>
      </c>
      <c r="J6" s="6" t="s">
        <v>70</v>
      </c>
    </row>
    <row r="7">
      <c r="A7" s="6" t="s">
        <v>71</v>
      </c>
      <c r="B7" s="6" t="s">
        <v>72</v>
      </c>
      <c r="C7" s="6" t="s">
        <v>64</v>
      </c>
      <c r="D7" s="6" t="s">
        <v>73</v>
      </c>
      <c r="E7" s="6" t="s">
        <v>74</v>
      </c>
      <c r="F7" s="6" t="s">
        <v>75</v>
      </c>
      <c r="G7" s="6" t="s">
        <v>76</v>
      </c>
      <c r="H7" s="6" t="s">
        <v>68</v>
      </c>
      <c r="I7" s="6" t="s">
        <v>44</v>
      </c>
      <c r="J7" s="6" t="s">
        <v>45</v>
      </c>
    </row>
    <row r="8">
      <c r="A8" s="6" t="s">
        <v>80</v>
      </c>
      <c r="B8" s="6" t="s">
        <v>81</v>
      </c>
      <c r="C8" s="6" t="s">
        <v>82</v>
      </c>
      <c r="D8" s="6" t="s">
        <v>83</v>
      </c>
      <c r="E8" s="6" t="s">
        <v>84</v>
      </c>
      <c r="F8" s="6" t="s">
        <v>85</v>
      </c>
      <c r="G8" s="6" t="s">
        <v>31</v>
      </c>
      <c r="H8" s="6" t="s">
        <v>60</v>
      </c>
      <c r="I8" s="6" t="s">
        <v>8</v>
      </c>
      <c r="J8" s="6" t="s">
        <v>97</v>
      </c>
      <c r="K8" s="6" t="s">
        <v>46</v>
      </c>
    </row>
    <row r="9">
      <c r="A9" s="6" t="s">
        <v>98</v>
      </c>
      <c r="B9" s="6" t="s">
        <v>99</v>
      </c>
      <c r="C9" s="6" t="s">
        <v>38</v>
      </c>
      <c r="D9" s="6" t="s">
        <v>73</v>
      </c>
      <c r="E9" s="6" t="s">
        <v>100</v>
      </c>
      <c r="F9" s="6" t="s">
        <v>101</v>
      </c>
      <c r="G9" s="6" t="s">
        <v>31</v>
      </c>
      <c r="H9" s="6" t="s">
        <v>32</v>
      </c>
      <c r="I9" s="6" t="s">
        <v>33</v>
      </c>
      <c r="J9" s="6" t="s">
        <v>34</v>
      </c>
    </row>
    <row r="10">
      <c r="A10" s="6" t="s">
        <v>102</v>
      </c>
      <c r="B10" s="6" t="s">
        <v>103</v>
      </c>
      <c r="C10" s="6" t="s">
        <v>104</v>
      </c>
      <c r="D10" s="6" t="s">
        <v>56</v>
      </c>
      <c r="E10" s="6" t="s">
        <v>105</v>
      </c>
      <c r="F10" s="6" t="s">
        <v>107</v>
      </c>
      <c r="G10" s="6" t="s">
        <v>108</v>
      </c>
      <c r="H10" s="6" t="s">
        <v>60</v>
      </c>
      <c r="I10" s="6" t="s">
        <v>8</v>
      </c>
      <c r="J10" s="6" t="s">
        <v>109</v>
      </c>
    </row>
    <row r="11">
      <c r="A11" s="6" t="s">
        <v>19</v>
      </c>
      <c r="B11" s="6" t="s">
        <v>110</v>
      </c>
      <c r="C11" s="6" t="s">
        <v>38</v>
      </c>
      <c r="D11" s="6" t="s">
        <v>28</v>
      </c>
      <c r="E11" s="6" t="s">
        <v>111</v>
      </c>
      <c r="F11" s="6" t="s">
        <v>112</v>
      </c>
      <c r="G11" s="6" t="s">
        <v>31</v>
      </c>
      <c r="H11" s="6" t="s">
        <v>43</v>
      </c>
      <c r="I11" s="6" t="s">
        <v>44</v>
      </c>
      <c r="J11" s="6" t="s">
        <v>70</v>
      </c>
    </row>
    <row r="12">
      <c r="A12" s="6" t="s">
        <v>116</v>
      </c>
      <c r="B12" s="6" t="s">
        <v>117</v>
      </c>
      <c r="C12" s="6" t="s">
        <v>118</v>
      </c>
      <c r="D12" s="6" t="s">
        <v>56</v>
      </c>
      <c r="E12" s="6" t="s">
        <v>119</v>
      </c>
      <c r="F12" s="6" t="s">
        <v>120</v>
      </c>
      <c r="G12" s="6" t="s">
        <v>59</v>
      </c>
      <c r="H12" s="6" t="s">
        <v>121</v>
      </c>
      <c r="I12" s="6" t="s">
        <v>44</v>
      </c>
      <c r="J12" s="6" t="s">
        <v>97</v>
      </c>
      <c r="K12" s="6" t="s">
        <v>35</v>
      </c>
    </row>
    <row r="13">
      <c r="A13" s="6" t="s">
        <v>122</v>
      </c>
      <c r="B13" s="6" t="s">
        <v>123</v>
      </c>
      <c r="C13" s="6" t="s">
        <v>125</v>
      </c>
      <c r="D13" s="6" t="s">
        <v>127</v>
      </c>
      <c r="E13" s="6" t="s">
        <v>128</v>
      </c>
      <c r="F13" s="6" t="s">
        <v>129</v>
      </c>
      <c r="G13" s="6" t="s">
        <v>67</v>
      </c>
      <c r="H13" s="6" t="s">
        <v>121</v>
      </c>
      <c r="I13" s="6" t="s">
        <v>33</v>
      </c>
      <c r="J13" s="6" t="s">
        <v>132</v>
      </c>
      <c r="K13" s="6" t="s">
        <v>133</v>
      </c>
    </row>
    <row r="14">
      <c r="A14" s="6" t="s">
        <v>134</v>
      </c>
      <c r="B14" s="6" t="s">
        <v>135</v>
      </c>
      <c r="C14" s="6" t="s">
        <v>104</v>
      </c>
      <c r="D14" s="6" t="s">
        <v>136</v>
      </c>
      <c r="E14" s="6" t="s">
        <v>137</v>
      </c>
      <c r="F14" s="6" t="s">
        <v>139</v>
      </c>
      <c r="G14" s="6" t="s">
        <v>42</v>
      </c>
      <c r="H14" s="6" t="s">
        <v>32</v>
      </c>
      <c r="I14" s="6" t="s">
        <v>69</v>
      </c>
      <c r="J14" s="6" t="s">
        <v>142</v>
      </c>
    </row>
    <row r="15">
      <c r="A15" s="6" t="s">
        <v>143</v>
      </c>
      <c r="B15" s="6" t="s">
        <v>145</v>
      </c>
      <c r="C15" s="6" t="s">
        <v>104</v>
      </c>
      <c r="D15" s="6" t="s">
        <v>127</v>
      </c>
      <c r="E15" s="6" t="s">
        <v>146</v>
      </c>
      <c r="F15" s="6" t="s">
        <v>147</v>
      </c>
      <c r="G15" s="6" t="s">
        <v>52</v>
      </c>
      <c r="H15" s="6" t="s">
        <v>60</v>
      </c>
      <c r="I15" s="6" t="s">
        <v>69</v>
      </c>
      <c r="J15" s="6" t="s">
        <v>148</v>
      </c>
      <c r="K15" s="6" t="s">
        <v>35</v>
      </c>
    </row>
    <row r="16">
      <c r="A16" s="6" t="s">
        <v>149</v>
      </c>
      <c r="B16" s="6" t="s">
        <v>150</v>
      </c>
      <c r="C16" s="6" t="s">
        <v>118</v>
      </c>
      <c r="D16" s="6" t="s">
        <v>136</v>
      </c>
      <c r="E16" s="6" t="s">
        <v>151</v>
      </c>
      <c r="F16" s="6" t="s">
        <v>152</v>
      </c>
      <c r="G16" s="6" t="s">
        <v>59</v>
      </c>
      <c r="H16" s="6" t="s">
        <v>32</v>
      </c>
      <c r="I16" s="6" t="s">
        <v>69</v>
      </c>
      <c r="J16" s="6" t="s">
        <v>34</v>
      </c>
      <c r="K16" s="6" t="s">
        <v>133</v>
      </c>
    </row>
    <row r="17">
      <c r="A17" s="6" t="s">
        <v>93</v>
      </c>
      <c r="B17" s="6" t="s">
        <v>25</v>
      </c>
      <c r="C17" s="6" t="s">
        <v>49</v>
      </c>
      <c r="D17" s="6" t="s">
        <v>56</v>
      </c>
      <c r="E17" s="6" t="s">
        <v>155</v>
      </c>
      <c r="G17" s="6" t="s">
        <v>76</v>
      </c>
      <c r="H17" s="6" t="s">
        <v>60</v>
      </c>
      <c r="I17" s="6" t="s">
        <v>69</v>
      </c>
      <c r="J17" s="6" t="s">
        <v>157</v>
      </c>
      <c r="K17" s="6" t="s">
        <v>46</v>
      </c>
    </row>
    <row r="18">
      <c r="A18" s="6" t="s">
        <v>159</v>
      </c>
      <c r="B18" s="6" t="s">
        <v>161</v>
      </c>
      <c r="C18" s="6" t="s">
        <v>125</v>
      </c>
      <c r="D18" s="6" t="s">
        <v>28</v>
      </c>
      <c r="E18" s="6" t="s">
        <v>164</v>
      </c>
      <c r="F18" s="6" t="s">
        <v>165</v>
      </c>
      <c r="G18" s="6" t="s">
        <v>31</v>
      </c>
      <c r="H18" s="6" t="s">
        <v>43</v>
      </c>
      <c r="I18" s="6" t="s">
        <v>8</v>
      </c>
      <c r="J18" s="6" t="s">
        <v>168</v>
      </c>
      <c r="K18" s="6" t="s">
        <v>35</v>
      </c>
    </row>
    <row r="19">
      <c r="A19" s="6" t="s">
        <v>169</v>
      </c>
      <c r="B19" s="6" t="s">
        <v>170</v>
      </c>
      <c r="C19" s="6" t="s">
        <v>118</v>
      </c>
      <c r="D19" s="6" t="s">
        <v>171</v>
      </c>
      <c r="E19" s="6" t="s">
        <v>172</v>
      </c>
      <c r="F19" s="6" t="s">
        <v>174</v>
      </c>
      <c r="G19" s="6" t="s">
        <v>67</v>
      </c>
      <c r="H19" s="6" t="s">
        <v>60</v>
      </c>
      <c r="I19" s="6" t="s">
        <v>33</v>
      </c>
      <c r="J19" s="6" t="s">
        <v>176</v>
      </c>
      <c r="K19" s="6" t="s">
        <v>133</v>
      </c>
    </row>
    <row r="20">
      <c r="A20" s="6" t="s">
        <v>177</v>
      </c>
      <c r="B20" s="6" t="s">
        <v>179</v>
      </c>
      <c r="C20" s="6" t="s">
        <v>180</v>
      </c>
      <c r="D20" s="6" t="s">
        <v>171</v>
      </c>
      <c r="E20" s="6" t="s">
        <v>182</v>
      </c>
      <c r="F20" s="6" t="s">
        <v>183</v>
      </c>
      <c r="G20" s="6" t="s">
        <v>31</v>
      </c>
      <c r="H20" s="6" t="s">
        <v>68</v>
      </c>
      <c r="I20" s="6" t="s">
        <v>44</v>
      </c>
      <c r="J20" s="6" t="s">
        <v>132</v>
      </c>
      <c r="K20" s="6" t="s">
        <v>133</v>
      </c>
    </row>
    <row r="21" ht="15.75" customHeight="1">
      <c r="A21" s="6" t="s">
        <v>184</v>
      </c>
      <c r="B21" s="6" t="s">
        <v>185</v>
      </c>
      <c r="C21" s="6" t="s">
        <v>186</v>
      </c>
      <c r="D21" s="6" t="s">
        <v>83</v>
      </c>
      <c r="E21" s="6" t="s">
        <v>187</v>
      </c>
      <c r="F21" s="6" t="s">
        <v>188</v>
      </c>
      <c r="G21" s="6" t="s">
        <v>59</v>
      </c>
      <c r="H21" s="6" t="s">
        <v>60</v>
      </c>
      <c r="I21" s="6" t="s">
        <v>44</v>
      </c>
      <c r="J21" s="6" t="s">
        <v>189</v>
      </c>
      <c r="K21" s="6" t="s">
        <v>133</v>
      </c>
    </row>
    <row r="22" ht="15.75" customHeight="1">
      <c r="A22" s="6" t="s">
        <v>190</v>
      </c>
      <c r="B22" s="6" t="s">
        <v>191</v>
      </c>
      <c r="C22" s="6" t="s">
        <v>26</v>
      </c>
      <c r="D22" s="6" t="s">
        <v>83</v>
      </c>
      <c r="E22" s="6" t="s">
        <v>192</v>
      </c>
      <c r="F22" s="6" t="s">
        <v>193</v>
      </c>
      <c r="H22" s="6" t="s">
        <v>32</v>
      </c>
      <c r="I22" s="6" t="s">
        <v>44</v>
      </c>
      <c r="J22" s="6" t="s">
        <v>194</v>
      </c>
    </row>
    <row r="23" ht="15.75" customHeight="1">
      <c r="A23" s="6" t="s">
        <v>195</v>
      </c>
      <c r="B23" s="6" t="s">
        <v>196</v>
      </c>
      <c r="C23" s="6" t="s">
        <v>104</v>
      </c>
      <c r="D23" s="6" t="s">
        <v>56</v>
      </c>
      <c r="E23" s="6" t="s">
        <v>197</v>
      </c>
      <c r="F23" s="6" t="s">
        <v>198</v>
      </c>
      <c r="G23" s="6" t="s">
        <v>199</v>
      </c>
      <c r="H23" s="6" t="s">
        <v>32</v>
      </c>
      <c r="I23" s="6" t="s">
        <v>69</v>
      </c>
      <c r="J23" s="6" t="s">
        <v>53</v>
      </c>
    </row>
    <row r="24" ht="15.75" customHeight="1">
      <c r="A24" s="6" t="s">
        <v>200</v>
      </c>
      <c r="B24" s="6" t="s">
        <v>145</v>
      </c>
      <c r="C24" s="6" t="s">
        <v>201</v>
      </c>
      <c r="D24" s="6" t="s">
        <v>73</v>
      </c>
      <c r="E24" s="6" t="s">
        <v>202</v>
      </c>
      <c r="F24" s="6" t="s">
        <v>203</v>
      </c>
      <c r="G24" s="6" t="s">
        <v>108</v>
      </c>
      <c r="H24" s="6" t="s">
        <v>43</v>
      </c>
      <c r="I24" s="6" t="s">
        <v>44</v>
      </c>
      <c r="J24" s="6" t="s">
        <v>204</v>
      </c>
      <c r="K24" s="6" t="s">
        <v>46</v>
      </c>
    </row>
    <row r="25" ht="15.75" customHeight="1">
      <c r="A25" s="6" t="s">
        <v>205</v>
      </c>
      <c r="B25" s="6" t="s">
        <v>206</v>
      </c>
      <c r="C25" s="6" t="s">
        <v>82</v>
      </c>
      <c r="D25" s="6" t="s">
        <v>127</v>
      </c>
      <c r="E25" s="6" t="s">
        <v>207</v>
      </c>
      <c r="F25" s="6" t="s">
        <v>208</v>
      </c>
      <c r="G25" s="6" t="s">
        <v>31</v>
      </c>
      <c r="H25" s="6" t="s">
        <v>60</v>
      </c>
      <c r="I25" s="6" t="s">
        <v>8</v>
      </c>
      <c r="J25" s="6" t="s">
        <v>168</v>
      </c>
      <c r="K25" s="6" t="s">
        <v>35</v>
      </c>
    </row>
    <row r="26" ht="15.75" customHeight="1">
      <c r="A26" s="6" t="s">
        <v>210</v>
      </c>
      <c r="B26" s="6" t="s">
        <v>211</v>
      </c>
      <c r="C26" s="6" t="s">
        <v>38</v>
      </c>
      <c r="D26" s="6" t="s">
        <v>28</v>
      </c>
      <c r="E26" s="6" t="s">
        <v>213</v>
      </c>
      <c r="F26" s="6" t="s">
        <v>214</v>
      </c>
      <c r="G26" s="6" t="s">
        <v>59</v>
      </c>
      <c r="H26" s="6" t="s">
        <v>43</v>
      </c>
      <c r="I26" s="6" t="s">
        <v>8</v>
      </c>
      <c r="J26" s="6" t="s">
        <v>142</v>
      </c>
      <c r="K26" s="6" t="s">
        <v>35</v>
      </c>
    </row>
    <row r="27" ht="15.75" customHeight="1">
      <c r="A27" s="6" t="s">
        <v>216</v>
      </c>
      <c r="B27" s="6" t="s">
        <v>217</v>
      </c>
      <c r="C27" s="6" t="s">
        <v>104</v>
      </c>
      <c r="D27" s="6" t="s">
        <v>136</v>
      </c>
      <c r="E27" s="6" t="s">
        <v>218</v>
      </c>
      <c r="F27" s="6" t="s">
        <v>219</v>
      </c>
      <c r="G27" s="6" t="s">
        <v>59</v>
      </c>
      <c r="H27" s="6" t="s">
        <v>43</v>
      </c>
      <c r="I27" s="6" t="s">
        <v>33</v>
      </c>
      <c r="J27" s="6" t="s">
        <v>61</v>
      </c>
      <c r="K27" s="6" t="s">
        <v>35</v>
      </c>
    </row>
    <row r="28" ht="15.75" customHeight="1">
      <c r="A28" s="6" t="s">
        <v>160</v>
      </c>
      <c r="B28" s="6" t="s">
        <v>220</v>
      </c>
      <c r="C28" s="6" t="s">
        <v>180</v>
      </c>
      <c r="D28" s="6" t="s">
        <v>56</v>
      </c>
      <c r="E28" s="6" t="s">
        <v>221</v>
      </c>
      <c r="F28" s="6" t="s">
        <v>222</v>
      </c>
      <c r="G28" s="6" t="s">
        <v>59</v>
      </c>
      <c r="I28" s="6" t="s">
        <v>69</v>
      </c>
      <c r="J28" s="6" t="s">
        <v>97</v>
      </c>
    </row>
    <row r="29" ht="15.75" customHeight="1">
      <c r="A29" s="6" t="s">
        <v>223</v>
      </c>
      <c r="B29" s="6" t="s">
        <v>224</v>
      </c>
      <c r="C29" s="6" t="s">
        <v>225</v>
      </c>
      <c r="D29" s="6" t="s">
        <v>28</v>
      </c>
      <c r="E29" s="6" t="s">
        <v>226</v>
      </c>
      <c r="F29" s="6" t="s">
        <v>227</v>
      </c>
      <c r="G29" s="6" t="s">
        <v>59</v>
      </c>
      <c r="H29" s="6" t="s">
        <v>60</v>
      </c>
      <c r="I29" s="6" t="s">
        <v>33</v>
      </c>
      <c r="J29" s="6" t="s">
        <v>189</v>
      </c>
    </row>
    <row r="30" ht="15.75" customHeight="1">
      <c r="A30" s="6" t="s">
        <v>228</v>
      </c>
      <c r="B30" s="6" t="s">
        <v>229</v>
      </c>
      <c r="C30" s="6" t="s">
        <v>82</v>
      </c>
      <c r="D30" s="6" t="s">
        <v>56</v>
      </c>
      <c r="E30" s="6" t="s">
        <v>230</v>
      </c>
      <c r="F30" s="6" t="s">
        <v>231</v>
      </c>
      <c r="G30" s="6" t="s">
        <v>67</v>
      </c>
      <c r="H30" s="6" t="s">
        <v>68</v>
      </c>
      <c r="I30" s="6" t="s">
        <v>33</v>
      </c>
      <c r="J30" s="6" t="s">
        <v>232</v>
      </c>
    </row>
    <row r="31" ht="15.75" customHeight="1">
      <c r="A31" s="6" t="s">
        <v>233</v>
      </c>
      <c r="B31" s="6" t="s">
        <v>234</v>
      </c>
      <c r="C31" s="6" t="s">
        <v>118</v>
      </c>
      <c r="D31" s="6" t="s">
        <v>136</v>
      </c>
      <c r="E31" s="6" t="s">
        <v>235</v>
      </c>
      <c r="F31" s="6" t="s">
        <v>236</v>
      </c>
      <c r="G31" s="6" t="s">
        <v>76</v>
      </c>
      <c r="H31" s="6" t="s">
        <v>60</v>
      </c>
      <c r="I31" s="6" t="s">
        <v>33</v>
      </c>
      <c r="J31" s="6" t="s">
        <v>168</v>
      </c>
      <c r="K31" s="6" t="s">
        <v>35</v>
      </c>
    </row>
    <row r="32" ht="15.75" customHeight="1">
      <c r="A32" s="6" t="s">
        <v>237</v>
      </c>
      <c r="B32" s="6" t="s">
        <v>238</v>
      </c>
      <c r="C32" s="6" t="s">
        <v>104</v>
      </c>
      <c r="D32" s="6" t="s">
        <v>73</v>
      </c>
      <c r="E32" s="6" t="s">
        <v>239</v>
      </c>
      <c r="F32" s="6" t="s">
        <v>240</v>
      </c>
      <c r="G32" s="6" t="s">
        <v>59</v>
      </c>
      <c r="H32" s="6" t="s">
        <v>68</v>
      </c>
      <c r="I32" s="6" t="s">
        <v>33</v>
      </c>
      <c r="J32" s="6" t="s">
        <v>241</v>
      </c>
      <c r="K32" s="6" t="s">
        <v>46</v>
      </c>
    </row>
    <row r="33" ht="15.75" customHeight="1">
      <c r="A33" s="6" t="s">
        <v>242</v>
      </c>
      <c r="B33" s="6" t="s">
        <v>243</v>
      </c>
      <c r="C33" s="6" t="s">
        <v>82</v>
      </c>
      <c r="D33" s="6" t="s">
        <v>171</v>
      </c>
      <c r="E33" s="6" t="s">
        <v>244</v>
      </c>
      <c r="F33" s="6" t="s">
        <v>245</v>
      </c>
      <c r="G33" s="6" t="s">
        <v>246</v>
      </c>
      <c r="H33" s="6" t="s">
        <v>60</v>
      </c>
      <c r="I33" s="6" t="s">
        <v>33</v>
      </c>
      <c r="J33" s="6" t="s">
        <v>247</v>
      </c>
      <c r="K33" s="6" t="s">
        <v>35</v>
      </c>
    </row>
    <row r="34" ht="15.75" customHeight="1">
      <c r="A34" s="6" t="s">
        <v>248</v>
      </c>
      <c r="B34" s="6" t="s">
        <v>249</v>
      </c>
      <c r="C34" s="6" t="s">
        <v>49</v>
      </c>
      <c r="D34" s="6" t="s">
        <v>171</v>
      </c>
      <c r="E34" s="6" t="s">
        <v>250</v>
      </c>
      <c r="F34" s="6" t="s">
        <v>251</v>
      </c>
      <c r="G34" s="6" t="s">
        <v>67</v>
      </c>
      <c r="H34" s="6" t="s">
        <v>43</v>
      </c>
      <c r="I34" s="6" t="s">
        <v>8</v>
      </c>
      <c r="J34" s="6" t="s">
        <v>176</v>
      </c>
      <c r="K34" s="6" t="s">
        <v>35</v>
      </c>
    </row>
    <row r="35" ht="15.75" customHeight="1">
      <c r="A35" s="6" t="s">
        <v>252</v>
      </c>
      <c r="B35" s="6" t="s">
        <v>253</v>
      </c>
      <c r="C35" s="6" t="s">
        <v>64</v>
      </c>
      <c r="D35" s="6" t="s">
        <v>73</v>
      </c>
      <c r="E35" s="6" t="s">
        <v>254</v>
      </c>
      <c r="F35" s="6" t="s">
        <v>255</v>
      </c>
      <c r="G35" s="6" t="s">
        <v>76</v>
      </c>
      <c r="H35" s="6" t="s">
        <v>68</v>
      </c>
      <c r="I35" s="6" t="s">
        <v>69</v>
      </c>
      <c r="J35" s="6" t="s">
        <v>256</v>
      </c>
      <c r="K35" s="6" t="s">
        <v>133</v>
      </c>
    </row>
    <row r="36" ht="15.75" customHeight="1">
      <c r="A36" s="6" t="s">
        <v>257</v>
      </c>
      <c r="B36" s="6" t="s">
        <v>258</v>
      </c>
      <c r="C36" s="6" t="s">
        <v>104</v>
      </c>
      <c r="D36" s="6" t="s">
        <v>73</v>
      </c>
      <c r="E36" s="6" t="s">
        <v>259</v>
      </c>
      <c r="F36" s="6" t="s">
        <v>260</v>
      </c>
      <c r="G36" s="6" t="s">
        <v>42</v>
      </c>
      <c r="H36" s="6" t="s">
        <v>43</v>
      </c>
      <c r="I36" s="6" t="s">
        <v>69</v>
      </c>
      <c r="J36" s="6" t="s">
        <v>194</v>
      </c>
      <c r="K36" s="6" t="s">
        <v>35</v>
      </c>
    </row>
    <row r="37" ht="15.75" customHeight="1">
      <c r="A37" s="6" t="s">
        <v>261</v>
      </c>
      <c r="B37" s="6" t="s">
        <v>262</v>
      </c>
      <c r="C37" s="6" t="s">
        <v>82</v>
      </c>
      <c r="D37" s="6" t="s">
        <v>28</v>
      </c>
      <c r="E37" s="6" t="s">
        <v>263</v>
      </c>
      <c r="F37" s="6" t="s">
        <v>264</v>
      </c>
      <c r="G37" s="6" t="s">
        <v>59</v>
      </c>
      <c r="H37" s="6" t="s">
        <v>121</v>
      </c>
      <c r="I37" s="6" t="s">
        <v>8</v>
      </c>
      <c r="J37" s="6" t="s">
        <v>168</v>
      </c>
      <c r="K37" s="6" t="s">
        <v>133</v>
      </c>
    </row>
    <row r="38" ht="15.75" customHeight="1">
      <c r="A38" s="6" t="s">
        <v>78</v>
      </c>
      <c r="B38" s="6" t="s">
        <v>265</v>
      </c>
      <c r="C38" s="6" t="s">
        <v>38</v>
      </c>
      <c r="D38" s="6" t="s">
        <v>136</v>
      </c>
      <c r="E38" s="6" t="s">
        <v>266</v>
      </c>
      <c r="F38" s="6" t="s">
        <v>267</v>
      </c>
      <c r="G38" s="6" t="s">
        <v>31</v>
      </c>
      <c r="H38" s="6" t="s">
        <v>121</v>
      </c>
      <c r="I38" s="6" t="s">
        <v>8</v>
      </c>
      <c r="J38" s="6" t="s">
        <v>34</v>
      </c>
    </row>
    <row r="39" ht="15.75" customHeight="1">
      <c r="A39" s="6" t="s">
        <v>268</v>
      </c>
      <c r="B39" s="6" t="s">
        <v>269</v>
      </c>
      <c r="C39" s="6" t="s">
        <v>125</v>
      </c>
      <c r="D39" s="6" t="s">
        <v>171</v>
      </c>
      <c r="E39" s="6" t="s">
        <v>270</v>
      </c>
      <c r="F39" s="6" t="s">
        <v>271</v>
      </c>
      <c r="G39" s="6" t="s">
        <v>59</v>
      </c>
      <c r="H39" s="6" t="s">
        <v>121</v>
      </c>
      <c r="I39" s="6" t="s">
        <v>44</v>
      </c>
      <c r="J39" s="6" t="s">
        <v>272</v>
      </c>
    </row>
    <row r="40" ht="15.75" customHeight="1">
      <c r="A40" s="6" t="s">
        <v>114</v>
      </c>
      <c r="B40" s="6" t="s">
        <v>273</v>
      </c>
      <c r="C40" s="6" t="s">
        <v>201</v>
      </c>
      <c r="D40" s="6" t="s">
        <v>136</v>
      </c>
      <c r="E40" s="6" t="s">
        <v>274</v>
      </c>
      <c r="G40" s="6" t="s">
        <v>31</v>
      </c>
      <c r="H40" s="6" t="s">
        <v>121</v>
      </c>
      <c r="I40" s="6" t="s">
        <v>33</v>
      </c>
      <c r="J40" s="6" t="s">
        <v>148</v>
      </c>
      <c r="K40" s="6" t="s">
        <v>46</v>
      </c>
    </row>
    <row r="41" ht="15.75" customHeight="1">
      <c r="A41" s="6" t="s">
        <v>275</v>
      </c>
      <c r="B41" s="6" t="s">
        <v>276</v>
      </c>
      <c r="C41" s="6" t="s">
        <v>201</v>
      </c>
      <c r="D41" s="6" t="s">
        <v>136</v>
      </c>
      <c r="E41" s="6" t="s">
        <v>277</v>
      </c>
      <c r="F41" s="6" t="s">
        <v>278</v>
      </c>
      <c r="G41" s="6" t="s">
        <v>108</v>
      </c>
      <c r="H41" s="6" t="s">
        <v>68</v>
      </c>
      <c r="I41" s="6" t="s">
        <v>69</v>
      </c>
      <c r="J41" s="6" t="s">
        <v>189</v>
      </c>
      <c r="K41" s="6" t="s">
        <v>35</v>
      </c>
    </row>
    <row r="42" ht="15.75" customHeight="1">
      <c r="A42" s="6" t="s">
        <v>279</v>
      </c>
      <c r="B42" s="6" t="s">
        <v>280</v>
      </c>
      <c r="C42" s="6" t="s">
        <v>104</v>
      </c>
      <c r="D42" s="6" t="s">
        <v>136</v>
      </c>
      <c r="E42" s="6" t="s">
        <v>281</v>
      </c>
      <c r="F42" s="6" t="s">
        <v>282</v>
      </c>
      <c r="G42" s="6" t="s">
        <v>42</v>
      </c>
      <c r="H42" s="6" t="s">
        <v>32</v>
      </c>
      <c r="I42" s="6" t="s">
        <v>69</v>
      </c>
      <c r="J42" s="6" t="s">
        <v>189</v>
      </c>
    </row>
    <row r="43" ht="15.75" customHeight="1">
      <c r="A43" s="6" t="s">
        <v>283</v>
      </c>
      <c r="B43" s="6" t="s">
        <v>284</v>
      </c>
      <c r="C43" s="6" t="s">
        <v>49</v>
      </c>
      <c r="D43" s="6" t="s">
        <v>56</v>
      </c>
      <c r="E43" s="6" t="s">
        <v>285</v>
      </c>
      <c r="F43" s="6" t="s">
        <v>286</v>
      </c>
      <c r="G43" s="6" t="s">
        <v>42</v>
      </c>
      <c r="H43" s="6" t="s">
        <v>60</v>
      </c>
      <c r="I43" s="6" t="s">
        <v>69</v>
      </c>
      <c r="J43" s="6" t="s">
        <v>272</v>
      </c>
      <c r="K43" s="6" t="s">
        <v>46</v>
      </c>
    </row>
    <row r="44" ht="15.75" customHeight="1">
      <c r="A44" s="6" t="s">
        <v>287</v>
      </c>
      <c r="B44" s="6" t="s">
        <v>288</v>
      </c>
      <c r="C44" s="6" t="s">
        <v>201</v>
      </c>
      <c r="D44" s="6" t="s">
        <v>39</v>
      </c>
      <c r="E44" s="6" t="s">
        <v>289</v>
      </c>
      <c r="F44" s="6" t="s">
        <v>290</v>
      </c>
      <c r="G44" s="6" t="s">
        <v>59</v>
      </c>
      <c r="H44" s="6" t="s">
        <v>43</v>
      </c>
      <c r="I44" s="6" t="s">
        <v>8</v>
      </c>
      <c r="J44" s="6" t="s">
        <v>97</v>
      </c>
    </row>
    <row r="45" ht="15.75" customHeight="1">
      <c r="A45" s="6" t="s">
        <v>291</v>
      </c>
      <c r="B45" s="6" t="s">
        <v>292</v>
      </c>
      <c r="C45" s="6" t="s">
        <v>64</v>
      </c>
      <c r="D45" s="6" t="s">
        <v>136</v>
      </c>
      <c r="E45" s="6" t="s">
        <v>293</v>
      </c>
      <c r="F45" s="6" t="s">
        <v>294</v>
      </c>
      <c r="G45" s="6" t="s">
        <v>42</v>
      </c>
      <c r="H45" s="6" t="s">
        <v>68</v>
      </c>
      <c r="I45" s="6" t="s">
        <v>33</v>
      </c>
      <c r="J45" s="6" t="s">
        <v>295</v>
      </c>
    </row>
    <row r="46" ht="15.75" customHeight="1">
      <c r="A46" s="6" t="s">
        <v>296</v>
      </c>
      <c r="B46" s="6" t="s">
        <v>297</v>
      </c>
      <c r="C46" s="6" t="s">
        <v>49</v>
      </c>
      <c r="D46" s="6" t="s">
        <v>136</v>
      </c>
      <c r="E46" s="6" t="s">
        <v>298</v>
      </c>
      <c r="F46" s="6" t="s">
        <v>299</v>
      </c>
      <c r="G46" s="6" t="s">
        <v>108</v>
      </c>
      <c r="H46" s="6" t="s">
        <v>43</v>
      </c>
      <c r="I46" s="6" t="s">
        <v>69</v>
      </c>
      <c r="J46" s="6" t="s">
        <v>109</v>
      </c>
      <c r="K46" s="6" t="s">
        <v>133</v>
      </c>
    </row>
    <row r="47" ht="15.75" customHeight="1">
      <c r="A47" s="6" t="s">
        <v>300</v>
      </c>
      <c r="B47" s="6" t="s">
        <v>301</v>
      </c>
      <c r="C47" s="6" t="s">
        <v>26</v>
      </c>
      <c r="D47" s="6" t="s">
        <v>171</v>
      </c>
      <c r="E47" s="6" t="s">
        <v>302</v>
      </c>
      <c r="F47" s="6" t="s">
        <v>303</v>
      </c>
      <c r="G47" s="6" t="s">
        <v>59</v>
      </c>
      <c r="H47" s="6" t="s">
        <v>60</v>
      </c>
      <c r="I47" s="6" t="s">
        <v>33</v>
      </c>
      <c r="J47" s="6" t="s">
        <v>97</v>
      </c>
      <c r="K47" s="6" t="s">
        <v>35</v>
      </c>
    </row>
    <row r="48" ht="15.75" customHeight="1">
      <c r="A48" s="6" t="s">
        <v>304</v>
      </c>
      <c r="B48" s="6" t="s">
        <v>305</v>
      </c>
      <c r="C48" s="6" t="s">
        <v>118</v>
      </c>
      <c r="D48" s="6" t="s">
        <v>83</v>
      </c>
      <c r="E48" s="6" t="s">
        <v>306</v>
      </c>
      <c r="F48" s="6" t="s">
        <v>307</v>
      </c>
      <c r="G48" s="6" t="s">
        <v>199</v>
      </c>
      <c r="H48" s="6" t="s">
        <v>121</v>
      </c>
      <c r="I48" s="6" t="s">
        <v>44</v>
      </c>
      <c r="J48" s="6" t="s">
        <v>256</v>
      </c>
      <c r="K48" s="6" t="s">
        <v>133</v>
      </c>
    </row>
    <row r="49" ht="15.75" customHeight="1">
      <c r="A49" s="6" t="s">
        <v>308</v>
      </c>
      <c r="B49" s="6" t="s">
        <v>309</v>
      </c>
      <c r="C49" s="6" t="s">
        <v>49</v>
      </c>
      <c r="D49" s="6" t="s">
        <v>28</v>
      </c>
      <c r="E49" s="6" t="s">
        <v>310</v>
      </c>
      <c r="F49" s="6" t="s">
        <v>311</v>
      </c>
      <c r="G49" s="6" t="s">
        <v>52</v>
      </c>
      <c r="H49" s="6" t="s">
        <v>43</v>
      </c>
      <c r="I49" s="6" t="s">
        <v>44</v>
      </c>
      <c r="J49" s="6" t="s">
        <v>45</v>
      </c>
      <c r="K49" s="6" t="s">
        <v>35</v>
      </c>
    </row>
    <row r="50" ht="15.75" customHeight="1">
      <c r="A50" s="6" t="s">
        <v>312</v>
      </c>
      <c r="B50" s="6" t="s">
        <v>313</v>
      </c>
      <c r="C50" s="6" t="s">
        <v>104</v>
      </c>
      <c r="D50" s="6" t="s">
        <v>28</v>
      </c>
      <c r="E50" s="6" t="s">
        <v>314</v>
      </c>
      <c r="F50" s="6" t="s">
        <v>315</v>
      </c>
      <c r="H50" s="6" t="s">
        <v>68</v>
      </c>
      <c r="I50" s="6" t="s">
        <v>69</v>
      </c>
      <c r="J50" s="6" t="s">
        <v>97</v>
      </c>
      <c r="K50" s="6" t="s">
        <v>35</v>
      </c>
    </row>
    <row r="51" ht="15.75" customHeight="1">
      <c r="A51" s="6" t="s">
        <v>316</v>
      </c>
      <c r="B51" s="6" t="s">
        <v>317</v>
      </c>
      <c r="C51" s="6" t="s">
        <v>186</v>
      </c>
      <c r="D51" s="6" t="s">
        <v>171</v>
      </c>
      <c r="E51" s="6" t="s">
        <v>318</v>
      </c>
      <c r="F51" s="6" t="s">
        <v>319</v>
      </c>
      <c r="G51" s="6" t="s">
        <v>67</v>
      </c>
      <c r="H51" s="6" t="s">
        <v>68</v>
      </c>
      <c r="I51" s="6" t="s">
        <v>69</v>
      </c>
      <c r="J51" s="6" t="s">
        <v>320</v>
      </c>
      <c r="K51" s="6" t="s">
        <v>46</v>
      </c>
    </row>
    <row r="52" ht="15.75" customHeight="1">
      <c r="A52" s="6" t="s">
        <v>321</v>
      </c>
      <c r="B52" s="6" t="s">
        <v>322</v>
      </c>
      <c r="C52" s="6" t="s">
        <v>125</v>
      </c>
      <c r="D52" s="6" t="s">
        <v>83</v>
      </c>
      <c r="E52" s="6" t="s">
        <v>323</v>
      </c>
      <c r="F52" s="6" t="s">
        <v>324</v>
      </c>
      <c r="G52" s="6" t="s">
        <v>31</v>
      </c>
      <c r="H52" s="6" t="s">
        <v>43</v>
      </c>
      <c r="I52" s="6" t="s">
        <v>44</v>
      </c>
      <c r="J52" s="6" t="s">
        <v>295</v>
      </c>
    </row>
    <row r="53" ht="15.75" customHeight="1">
      <c r="A53" s="6" t="s">
        <v>325</v>
      </c>
      <c r="B53" s="6" t="s">
        <v>326</v>
      </c>
      <c r="C53" s="6" t="s">
        <v>64</v>
      </c>
      <c r="D53" s="6" t="s">
        <v>73</v>
      </c>
      <c r="E53" s="6" t="s">
        <v>327</v>
      </c>
      <c r="F53" s="6" t="s">
        <v>328</v>
      </c>
      <c r="G53" s="6" t="s">
        <v>108</v>
      </c>
      <c r="H53" s="6" t="s">
        <v>32</v>
      </c>
      <c r="I53" s="6" t="s">
        <v>8</v>
      </c>
      <c r="J53" s="6" t="s">
        <v>204</v>
      </c>
      <c r="K53" s="6" t="s">
        <v>133</v>
      </c>
    </row>
    <row r="54" ht="15.75" customHeight="1">
      <c r="A54" s="6" t="s">
        <v>88</v>
      </c>
      <c r="B54" s="6" t="s">
        <v>179</v>
      </c>
      <c r="C54" s="6" t="s">
        <v>26</v>
      </c>
      <c r="D54" s="6" t="s">
        <v>73</v>
      </c>
      <c r="E54" s="6" t="s">
        <v>329</v>
      </c>
      <c r="F54" s="6" t="s">
        <v>330</v>
      </c>
      <c r="G54" s="6" t="s">
        <v>199</v>
      </c>
      <c r="H54" s="6" t="s">
        <v>121</v>
      </c>
      <c r="I54" s="6" t="s">
        <v>69</v>
      </c>
      <c r="J54" s="6" t="s">
        <v>109</v>
      </c>
      <c r="K54" s="6" t="s">
        <v>133</v>
      </c>
    </row>
    <row r="55" ht="15.75" customHeight="1">
      <c r="A55" s="6" t="s">
        <v>331</v>
      </c>
      <c r="B55" s="6" t="s">
        <v>332</v>
      </c>
      <c r="C55" s="6" t="s">
        <v>49</v>
      </c>
      <c r="D55" s="6" t="s">
        <v>73</v>
      </c>
      <c r="E55" s="6" t="s">
        <v>333</v>
      </c>
      <c r="F55" s="6" t="s">
        <v>334</v>
      </c>
      <c r="G55" s="6" t="s">
        <v>76</v>
      </c>
      <c r="H55" s="6" t="s">
        <v>121</v>
      </c>
      <c r="I55" s="6" t="s">
        <v>33</v>
      </c>
      <c r="J55" s="6" t="s">
        <v>142</v>
      </c>
      <c r="K55" s="6" t="s">
        <v>35</v>
      </c>
    </row>
    <row r="56" ht="15.75" customHeight="1">
      <c r="A56" s="6" t="s">
        <v>335</v>
      </c>
      <c r="B56" s="6" t="s">
        <v>336</v>
      </c>
      <c r="C56" s="6" t="s">
        <v>125</v>
      </c>
      <c r="D56" s="6" t="s">
        <v>28</v>
      </c>
      <c r="E56" s="6" t="s">
        <v>337</v>
      </c>
      <c r="F56" s="6" t="s">
        <v>338</v>
      </c>
      <c r="G56" s="6" t="s">
        <v>76</v>
      </c>
      <c r="H56" s="6" t="s">
        <v>68</v>
      </c>
      <c r="I56" s="6" t="s">
        <v>44</v>
      </c>
      <c r="J56" s="6" t="s">
        <v>109</v>
      </c>
    </row>
    <row r="57" ht="15.75" customHeight="1">
      <c r="A57" s="6" t="s">
        <v>339</v>
      </c>
      <c r="B57" s="6" t="s">
        <v>340</v>
      </c>
      <c r="C57" s="6" t="s">
        <v>186</v>
      </c>
      <c r="D57" s="6" t="s">
        <v>83</v>
      </c>
      <c r="E57" s="6" t="s">
        <v>341</v>
      </c>
      <c r="F57" s="6" t="s">
        <v>342</v>
      </c>
      <c r="G57" s="6" t="s">
        <v>31</v>
      </c>
      <c r="H57" s="6" t="s">
        <v>68</v>
      </c>
      <c r="I57" s="6" t="s">
        <v>69</v>
      </c>
      <c r="J57" s="6" t="s">
        <v>343</v>
      </c>
      <c r="K57" s="6" t="s">
        <v>133</v>
      </c>
    </row>
    <row r="58" ht="15.75" customHeight="1">
      <c r="A58" s="6" t="s">
        <v>344</v>
      </c>
      <c r="B58" s="6" t="s">
        <v>345</v>
      </c>
      <c r="C58" s="6" t="s">
        <v>118</v>
      </c>
      <c r="D58" s="6" t="s">
        <v>136</v>
      </c>
      <c r="E58" s="6" t="s">
        <v>346</v>
      </c>
      <c r="F58" s="6" t="s">
        <v>347</v>
      </c>
      <c r="G58" s="6" t="s">
        <v>42</v>
      </c>
      <c r="H58" s="6" t="s">
        <v>121</v>
      </c>
      <c r="I58" s="6" t="s">
        <v>8</v>
      </c>
      <c r="J58" s="6" t="s">
        <v>97</v>
      </c>
      <c r="K58" s="6" t="s">
        <v>46</v>
      </c>
    </row>
    <row r="59" ht="15.75" customHeight="1">
      <c r="A59" s="6" t="s">
        <v>348</v>
      </c>
      <c r="B59" s="6" t="s">
        <v>349</v>
      </c>
      <c r="C59" s="6" t="s">
        <v>82</v>
      </c>
      <c r="D59" s="6" t="s">
        <v>39</v>
      </c>
      <c r="E59" s="6" t="s">
        <v>350</v>
      </c>
      <c r="F59" s="6" t="s">
        <v>351</v>
      </c>
      <c r="G59" s="6" t="s">
        <v>199</v>
      </c>
      <c r="H59" s="6" t="s">
        <v>32</v>
      </c>
      <c r="I59" s="6" t="s">
        <v>8</v>
      </c>
      <c r="J59" s="6" t="s">
        <v>70</v>
      </c>
      <c r="K59" s="6" t="s">
        <v>35</v>
      </c>
    </row>
    <row r="60" ht="15.75" customHeight="1">
      <c r="A60" s="6" t="s">
        <v>352</v>
      </c>
      <c r="B60" s="6" t="s">
        <v>353</v>
      </c>
      <c r="C60" s="6" t="s">
        <v>49</v>
      </c>
      <c r="D60" s="6" t="s">
        <v>56</v>
      </c>
      <c r="E60" s="6" t="s">
        <v>354</v>
      </c>
      <c r="F60" s="6" t="s">
        <v>355</v>
      </c>
      <c r="G60" s="6" t="s">
        <v>199</v>
      </c>
      <c r="H60" s="6" t="s">
        <v>60</v>
      </c>
      <c r="I60" s="6" t="s">
        <v>8</v>
      </c>
      <c r="J60" s="6" t="s">
        <v>241</v>
      </c>
      <c r="K60" s="6" t="s">
        <v>46</v>
      </c>
    </row>
    <row r="61" ht="15.75" customHeight="1">
      <c r="A61" s="6" t="s">
        <v>167</v>
      </c>
      <c r="B61" s="6" t="s">
        <v>356</v>
      </c>
      <c r="C61" s="6" t="s">
        <v>118</v>
      </c>
      <c r="D61" s="6" t="s">
        <v>73</v>
      </c>
      <c r="E61" s="6" t="s">
        <v>357</v>
      </c>
      <c r="F61" s="6" t="s">
        <v>358</v>
      </c>
      <c r="G61" s="6" t="s">
        <v>76</v>
      </c>
      <c r="I61" s="6" t="s">
        <v>44</v>
      </c>
      <c r="J61" s="6" t="s">
        <v>45</v>
      </c>
    </row>
    <row r="62" ht="15.75" customHeight="1">
      <c r="A62" s="6" t="s">
        <v>359</v>
      </c>
      <c r="B62" s="6" t="s">
        <v>360</v>
      </c>
      <c r="C62" s="6" t="s">
        <v>201</v>
      </c>
      <c r="D62" s="6" t="s">
        <v>28</v>
      </c>
      <c r="E62" s="6" t="s">
        <v>361</v>
      </c>
      <c r="F62" s="6" t="s">
        <v>362</v>
      </c>
      <c r="G62" s="6" t="s">
        <v>59</v>
      </c>
      <c r="H62" s="6" t="s">
        <v>121</v>
      </c>
      <c r="I62" s="6" t="s">
        <v>8</v>
      </c>
      <c r="J62" s="6" t="s">
        <v>34</v>
      </c>
    </row>
    <row r="63" ht="15.75" customHeight="1">
      <c r="A63" s="6" t="s">
        <v>363</v>
      </c>
      <c r="B63" s="6" t="s">
        <v>364</v>
      </c>
      <c r="C63" s="6" t="s">
        <v>64</v>
      </c>
      <c r="D63" s="6" t="s">
        <v>83</v>
      </c>
      <c r="E63" s="6" t="s">
        <v>365</v>
      </c>
      <c r="F63" s="6" t="s">
        <v>366</v>
      </c>
      <c r="G63" s="6" t="s">
        <v>42</v>
      </c>
      <c r="H63" s="6" t="s">
        <v>32</v>
      </c>
      <c r="I63" s="6" t="s">
        <v>69</v>
      </c>
      <c r="J63" s="6" t="s">
        <v>343</v>
      </c>
      <c r="K63" s="6" t="s">
        <v>46</v>
      </c>
    </row>
    <row r="64" ht="15.75" customHeight="1">
      <c r="A64" s="6" t="s">
        <v>367</v>
      </c>
      <c r="B64" s="6" t="s">
        <v>368</v>
      </c>
      <c r="C64" s="6" t="s">
        <v>118</v>
      </c>
      <c r="D64" s="6" t="s">
        <v>28</v>
      </c>
      <c r="E64" s="6" t="s">
        <v>369</v>
      </c>
      <c r="F64" s="6" t="s">
        <v>370</v>
      </c>
      <c r="G64" s="6" t="s">
        <v>108</v>
      </c>
      <c r="H64" s="6" t="s">
        <v>43</v>
      </c>
      <c r="I64" s="6" t="s">
        <v>8</v>
      </c>
      <c r="J64" s="6" t="s">
        <v>189</v>
      </c>
    </row>
    <row r="65" ht="15.75" customHeight="1">
      <c r="A65" s="6" t="s">
        <v>371</v>
      </c>
      <c r="B65" s="6" t="s">
        <v>372</v>
      </c>
      <c r="C65" s="6" t="s">
        <v>180</v>
      </c>
      <c r="D65" s="6" t="s">
        <v>73</v>
      </c>
      <c r="E65" s="6" t="s">
        <v>373</v>
      </c>
      <c r="F65" s="6" t="s">
        <v>374</v>
      </c>
      <c r="G65" s="6" t="s">
        <v>199</v>
      </c>
      <c r="H65" s="6" t="s">
        <v>43</v>
      </c>
      <c r="I65" s="6" t="s">
        <v>33</v>
      </c>
      <c r="J65" s="6" t="s">
        <v>132</v>
      </c>
      <c r="K65" s="6" t="s">
        <v>35</v>
      </c>
    </row>
    <row r="66" ht="15.75" customHeight="1">
      <c r="A66" s="6" t="s">
        <v>375</v>
      </c>
      <c r="B66" s="6" t="s">
        <v>376</v>
      </c>
      <c r="C66" s="6" t="s">
        <v>64</v>
      </c>
      <c r="D66" s="6" t="s">
        <v>56</v>
      </c>
      <c r="E66" s="6" t="s">
        <v>377</v>
      </c>
      <c r="F66" s="6" t="s">
        <v>378</v>
      </c>
      <c r="G66" s="6" t="s">
        <v>379</v>
      </c>
      <c r="H66" s="6" t="s">
        <v>121</v>
      </c>
      <c r="I66" s="6" t="s">
        <v>8</v>
      </c>
      <c r="J66" s="6" t="s">
        <v>380</v>
      </c>
      <c r="K66" s="6" t="s">
        <v>133</v>
      </c>
    </row>
    <row r="67" ht="15.75" customHeight="1">
      <c r="A67" s="6" t="s">
        <v>381</v>
      </c>
      <c r="B67" s="6" t="s">
        <v>382</v>
      </c>
      <c r="C67" s="6" t="s">
        <v>49</v>
      </c>
      <c r="D67" s="6" t="s">
        <v>83</v>
      </c>
      <c r="E67" s="6" t="s">
        <v>383</v>
      </c>
      <c r="F67" s="6" t="s">
        <v>384</v>
      </c>
      <c r="G67" s="6" t="s">
        <v>76</v>
      </c>
      <c r="H67" s="6" t="s">
        <v>43</v>
      </c>
      <c r="I67" s="6" t="s">
        <v>8</v>
      </c>
      <c r="J67" s="6" t="s">
        <v>53</v>
      </c>
      <c r="K67" s="6" t="s">
        <v>133</v>
      </c>
    </row>
    <row r="68" ht="15.75" customHeight="1">
      <c r="A68" s="6" t="s">
        <v>385</v>
      </c>
      <c r="B68" s="6" t="s">
        <v>386</v>
      </c>
      <c r="C68" s="6" t="s">
        <v>186</v>
      </c>
      <c r="D68" s="6" t="s">
        <v>73</v>
      </c>
      <c r="E68" s="6" t="s">
        <v>387</v>
      </c>
      <c r="F68" s="6" t="s">
        <v>388</v>
      </c>
      <c r="G68" s="6" t="s">
        <v>199</v>
      </c>
      <c r="H68" s="6" t="s">
        <v>60</v>
      </c>
      <c r="I68" s="6" t="s">
        <v>33</v>
      </c>
      <c r="J68" s="6" t="s">
        <v>204</v>
      </c>
      <c r="K68" s="6" t="s">
        <v>35</v>
      </c>
    </row>
    <row r="69" ht="15.75" customHeight="1">
      <c r="A69" s="6" t="s">
        <v>126</v>
      </c>
      <c r="B69" s="6" t="s">
        <v>389</v>
      </c>
      <c r="C69" s="6" t="s">
        <v>38</v>
      </c>
      <c r="D69" s="6" t="s">
        <v>83</v>
      </c>
      <c r="E69" s="6" t="s">
        <v>390</v>
      </c>
      <c r="G69" s="6" t="s">
        <v>108</v>
      </c>
      <c r="H69" s="6" t="s">
        <v>68</v>
      </c>
      <c r="I69" s="6" t="s">
        <v>69</v>
      </c>
      <c r="J69" s="6" t="s">
        <v>295</v>
      </c>
      <c r="K69" s="6" t="s">
        <v>133</v>
      </c>
    </row>
    <row r="70" ht="15.75" customHeight="1">
      <c r="A70" s="6" t="s">
        <v>391</v>
      </c>
      <c r="B70" s="6" t="s">
        <v>392</v>
      </c>
      <c r="C70" s="6" t="s">
        <v>64</v>
      </c>
      <c r="D70" s="6" t="s">
        <v>83</v>
      </c>
      <c r="E70" s="6" t="s">
        <v>393</v>
      </c>
      <c r="F70" s="6" t="s">
        <v>394</v>
      </c>
      <c r="G70" s="6" t="s">
        <v>42</v>
      </c>
      <c r="H70" s="6" t="s">
        <v>43</v>
      </c>
      <c r="I70" s="6" t="s">
        <v>8</v>
      </c>
      <c r="J70" s="6" t="s">
        <v>45</v>
      </c>
      <c r="K70" s="6" t="s">
        <v>35</v>
      </c>
    </row>
    <row r="71" ht="15.75" customHeight="1">
      <c r="A71" s="6" t="s">
        <v>395</v>
      </c>
      <c r="B71" s="6" t="s">
        <v>396</v>
      </c>
      <c r="C71" s="6" t="s">
        <v>125</v>
      </c>
      <c r="D71" s="6" t="s">
        <v>127</v>
      </c>
      <c r="E71" s="6" t="s">
        <v>397</v>
      </c>
      <c r="F71" s="6" t="s">
        <v>398</v>
      </c>
      <c r="G71" s="6" t="s">
        <v>59</v>
      </c>
      <c r="H71" s="6" t="s">
        <v>43</v>
      </c>
      <c r="I71" s="6" t="s">
        <v>33</v>
      </c>
      <c r="J71" s="6" t="s">
        <v>247</v>
      </c>
      <c r="K71" s="6" t="s">
        <v>46</v>
      </c>
    </row>
    <row r="72" ht="15.75" customHeight="1">
      <c r="A72" s="6" t="s">
        <v>399</v>
      </c>
      <c r="B72" s="6" t="s">
        <v>400</v>
      </c>
      <c r="C72" s="6" t="s">
        <v>125</v>
      </c>
      <c r="D72" s="6" t="s">
        <v>28</v>
      </c>
      <c r="E72" s="6" t="s">
        <v>401</v>
      </c>
      <c r="F72" s="6" t="s">
        <v>402</v>
      </c>
      <c r="G72" s="6" t="s">
        <v>199</v>
      </c>
      <c r="H72" s="6" t="s">
        <v>32</v>
      </c>
      <c r="I72" s="6" t="s">
        <v>44</v>
      </c>
      <c r="J72" s="6" t="s">
        <v>132</v>
      </c>
      <c r="K72" s="6" t="s">
        <v>35</v>
      </c>
    </row>
    <row r="73" ht="15.75" customHeight="1">
      <c r="A73" s="6" t="s">
        <v>403</v>
      </c>
      <c r="B73" s="6" t="s">
        <v>386</v>
      </c>
      <c r="C73" s="6" t="s">
        <v>118</v>
      </c>
      <c r="D73" s="6" t="s">
        <v>39</v>
      </c>
      <c r="E73" s="6" t="s">
        <v>404</v>
      </c>
      <c r="F73" s="6" t="s">
        <v>405</v>
      </c>
      <c r="G73" s="6" t="s">
        <v>52</v>
      </c>
      <c r="H73" s="6" t="s">
        <v>121</v>
      </c>
      <c r="I73" s="6" t="s">
        <v>69</v>
      </c>
      <c r="J73" s="6" t="s">
        <v>343</v>
      </c>
      <c r="K73" s="6" t="s">
        <v>35</v>
      </c>
    </row>
    <row r="74" ht="15.75" customHeight="1">
      <c r="A74" s="6" t="s">
        <v>406</v>
      </c>
      <c r="B74" s="6" t="s">
        <v>407</v>
      </c>
      <c r="C74" s="6" t="s">
        <v>201</v>
      </c>
      <c r="D74" s="6" t="s">
        <v>39</v>
      </c>
      <c r="E74" s="6" t="s">
        <v>408</v>
      </c>
      <c r="F74" s="6" t="s">
        <v>409</v>
      </c>
      <c r="G74" s="6" t="s">
        <v>199</v>
      </c>
      <c r="H74" s="6" t="s">
        <v>43</v>
      </c>
      <c r="I74" s="6" t="s">
        <v>33</v>
      </c>
      <c r="J74" s="6" t="s">
        <v>380</v>
      </c>
      <c r="K74" s="6" t="s">
        <v>35</v>
      </c>
    </row>
    <row r="75" ht="15.75" customHeight="1">
      <c r="A75" s="6" t="s">
        <v>410</v>
      </c>
      <c r="B75" s="6" t="s">
        <v>411</v>
      </c>
      <c r="C75" s="6" t="s">
        <v>26</v>
      </c>
      <c r="D75" s="6" t="s">
        <v>127</v>
      </c>
      <c r="E75" s="6" t="s">
        <v>412</v>
      </c>
      <c r="F75" s="6" t="s">
        <v>413</v>
      </c>
      <c r="G75" s="6" t="s">
        <v>199</v>
      </c>
      <c r="H75" s="6" t="s">
        <v>43</v>
      </c>
      <c r="I75" s="6" t="s">
        <v>33</v>
      </c>
      <c r="J75" s="6" t="s">
        <v>343</v>
      </c>
      <c r="K75" s="6" t="s">
        <v>46</v>
      </c>
    </row>
    <row r="76" ht="15.75" customHeight="1">
      <c r="A76" s="6" t="s">
        <v>414</v>
      </c>
      <c r="B76" s="6" t="s">
        <v>415</v>
      </c>
      <c r="C76" s="6" t="s">
        <v>82</v>
      </c>
      <c r="D76" s="6" t="s">
        <v>28</v>
      </c>
      <c r="E76" s="6" t="s">
        <v>416</v>
      </c>
      <c r="F76" s="6" t="s">
        <v>417</v>
      </c>
      <c r="G76" s="6" t="s">
        <v>42</v>
      </c>
      <c r="H76" s="6" t="s">
        <v>121</v>
      </c>
      <c r="I76" s="6" t="s">
        <v>33</v>
      </c>
      <c r="J76" s="6" t="s">
        <v>232</v>
      </c>
      <c r="K76" s="6" t="s">
        <v>35</v>
      </c>
    </row>
    <row r="77" ht="15.75" customHeight="1">
      <c r="A77" s="6" t="s">
        <v>418</v>
      </c>
      <c r="B77" s="6" t="s">
        <v>419</v>
      </c>
      <c r="C77" s="6" t="s">
        <v>201</v>
      </c>
      <c r="D77" s="6" t="s">
        <v>28</v>
      </c>
      <c r="E77" s="6" t="s">
        <v>420</v>
      </c>
      <c r="F77" s="6" t="s">
        <v>421</v>
      </c>
      <c r="G77" s="6" t="s">
        <v>31</v>
      </c>
      <c r="H77" s="6" t="s">
        <v>32</v>
      </c>
      <c r="I77" s="6" t="s">
        <v>8</v>
      </c>
      <c r="J77" s="6" t="s">
        <v>247</v>
      </c>
      <c r="K77" s="6" t="s">
        <v>133</v>
      </c>
    </row>
    <row r="78" ht="15.75" customHeight="1">
      <c r="A78" s="6" t="s">
        <v>422</v>
      </c>
      <c r="B78" s="6" t="s">
        <v>423</v>
      </c>
      <c r="C78" s="6" t="s">
        <v>38</v>
      </c>
      <c r="D78" s="6" t="s">
        <v>171</v>
      </c>
      <c r="E78" s="6" t="s">
        <v>424</v>
      </c>
      <c r="F78" s="6" t="s">
        <v>425</v>
      </c>
      <c r="G78" s="6" t="s">
        <v>76</v>
      </c>
      <c r="H78" s="6" t="s">
        <v>121</v>
      </c>
      <c r="I78" s="6" t="s">
        <v>8</v>
      </c>
      <c r="J78" s="6" t="s">
        <v>132</v>
      </c>
      <c r="K78" s="6" t="s">
        <v>35</v>
      </c>
    </row>
    <row r="79" ht="15.75" customHeight="1">
      <c r="A79" s="6" t="s">
        <v>426</v>
      </c>
      <c r="B79" s="6" t="s">
        <v>427</v>
      </c>
      <c r="C79" s="6" t="s">
        <v>38</v>
      </c>
      <c r="D79" s="6" t="s">
        <v>83</v>
      </c>
      <c r="E79" s="6" t="s">
        <v>428</v>
      </c>
      <c r="F79" s="6" t="s">
        <v>429</v>
      </c>
      <c r="G79" s="6" t="s">
        <v>31</v>
      </c>
      <c r="H79" s="6" t="s">
        <v>32</v>
      </c>
      <c r="I79" s="6" t="s">
        <v>8</v>
      </c>
      <c r="J79" s="6" t="s">
        <v>70</v>
      </c>
    </row>
    <row r="80" ht="15.75" customHeight="1">
      <c r="A80" s="6" t="s">
        <v>430</v>
      </c>
      <c r="B80" s="6" t="s">
        <v>431</v>
      </c>
      <c r="C80" s="6" t="s">
        <v>118</v>
      </c>
      <c r="D80" s="6" t="s">
        <v>39</v>
      </c>
      <c r="E80" s="6" t="s">
        <v>432</v>
      </c>
      <c r="F80" s="6" t="s">
        <v>433</v>
      </c>
      <c r="G80" s="6" t="s">
        <v>52</v>
      </c>
      <c r="H80" s="6" t="s">
        <v>68</v>
      </c>
      <c r="I80" s="6" t="s">
        <v>8</v>
      </c>
      <c r="J80" s="6" t="s">
        <v>157</v>
      </c>
      <c r="K80" s="6" t="s">
        <v>46</v>
      </c>
    </row>
    <row r="81" ht="15.75" customHeight="1">
      <c r="A81" s="6" t="s">
        <v>434</v>
      </c>
      <c r="B81" s="6" t="s">
        <v>435</v>
      </c>
      <c r="C81" s="6" t="s">
        <v>26</v>
      </c>
      <c r="D81" s="6" t="s">
        <v>127</v>
      </c>
      <c r="E81" s="6" t="s">
        <v>436</v>
      </c>
      <c r="F81" s="6" t="s">
        <v>437</v>
      </c>
      <c r="H81" s="6" t="s">
        <v>121</v>
      </c>
      <c r="I81" s="6" t="s">
        <v>44</v>
      </c>
      <c r="J81" s="6" t="s">
        <v>380</v>
      </c>
    </row>
    <row r="82" ht="15.75" customHeight="1">
      <c r="A82" s="6" t="s">
        <v>438</v>
      </c>
      <c r="B82" s="6" t="s">
        <v>206</v>
      </c>
      <c r="C82" s="6" t="s">
        <v>180</v>
      </c>
      <c r="D82" s="6" t="s">
        <v>171</v>
      </c>
      <c r="E82" s="6" t="s">
        <v>439</v>
      </c>
      <c r="F82" s="6" t="s">
        <v>440</v>
      </c>
      <c r="G82" s="6" t="s">
        <v>42</v>
      </c>
      <c r="H82" s="6" t="s">
        <v>60</v>
      </c>
      <c r="I82" s="6" t="s">
        <v>69</v>
      </c>
      <c r="J82" s="6" t="s">
        <v>53</v>
      </c>
      <c r="K82" s="6" t="s">
        <v>35</v>
      </c>
    </row>
    <row r="83" ht="15.75" customHeight="1">
      <c r="A83" s="6" t="s">
        <v>441</v>
      </c>
      <c r="B83" s="6" t="s">
        <v>442</v>
      </c>
      <c r="C83" s="6" t="s">
        <v>186</v>
      </c>
      <c r="D83" s="6" t="s">
        <v>73</v>
      </c>
      <c r="E83" s="6" t="s">
        <v>443</v>
      </c>
      <c r="F83" s="6" t="s">
        <v>444</v>
      </c>
      <c r="G83" s="6" t="s">
        <v>108</v>
      </c>
      <c r="H83" s="6" t="s">
        <v>32</v>
      </c>
      <c r="I83" s="6" t="s">
        <v>69</v>
      </c>
      <c r="J83" s="6" t="s">
        <v>109</v>
      </c>
    </row>
    <row r="84" ht="15.75" customHeight="1">
      <c r="A84" s="6" t="s">
        <v>445</v>
      </c>
      <c r="B84" s="6" t="s">
        <v>446</v>
      </c>
      <c r="C84" s="6" t="s">
        <v>26</v>
      </c>
      <c r="D84" s="6" t="s">
        <v>171</v>
      </c>
      <c r="E84" s="6" t="s">
        <v>447</v>
      </c>
      <c r="F84" s="6" t="s">
        <v>448</v>
      </c>
      <c r="G84" s="6" t="s">
        <v>52</v>
      </c>
      <c r="H84" s="6" t="s">
        <v>121</v>
      </c>
      <c r="I84" s="6" t="s">
        <v>33</v>
      </c>
      <c r="J84" s="6" t="s">
        <v>449</v>
      </c>
    </row>
    <row r="85" ht="15.75" customHeight="1">
      <c r="A85" s="6" t="s">
        <v>450</v>
      </c>
      <c r="B85" s="6" t="s">
        <v>37</v>
      </c>
      <c r="C85" s="6" t="s">
        <v>26</v>
      </c>
      <c r="D85" s="6" t="s">
        <v>56</v>
      </c>
      <c r="E85" s="6" t="s">
        <v>451</v>
      </c>
      <c r="F85" s="6" t="s">
        <v>452</v>
      </c>
      <c r="G85" s="6" t="s">
        <v>52</v>
      </c>
      <c r="H85" s="6" t="s">
        <v>43</v>
      </c>
      <c r="I85" s="6" t="s">
        <v>8</v>
      </c>
      <c r="J85" s="6" t="s">
        <v>157</v>
      </c>
    </row>
    <row r="86" ht="15.75" customHeight="1">
      <c r="A86" s="6" t="s">
        <v>175</v>
      </c>
      <c r="B86" s="6" t="s">
        <v>453</v>
      </c>
      <c r="C86" s="6" t="s">
        <v>118</v>
      </c>
      <c r="D86" s="6" t="s">
        <v>127</v>
      </c>
      <c r="E86" s="6" t="s">
        <v>454</v>
      </c>
      <c r="F86" s="6" t="s">
        <v>455</v>
      </c>
      <c r="G86" s="6" t="s">
        <v>59</v>
      </c>
      <c r="I86" s="6" t="s">
        <v>69</v>
      </c>
      <c r="J86" s="6" t="s">
        <v>272</v>
      </c>
      <c r="K86" s="6" t="s">
        <v>46</v>
      </c>
    </row>
    <row r="87" ht="15.75" customHeight="1">
      <c r="A87" s="6" t="s">
        <v>456</v>
      </c>
      <c r="B87" s="6" t="s">
        <v>457</v>
      </c>
      <c r="C87" s="6" t="s">
        <v>38</v>
      </c>
      <c r="D87" s="6" t="s">
        <v>73</v>
      </c>
      <c r="E87" s="6" t="s">
        <v>458</v>
      </c>
      <c r="F87" s="6" t="s">
        <v>459</v>
      </c>
      <c r="G87" s="6" t="s">
        <v>31</v>
      </c>
      <c r="H87" s="6" t="s">
        <v>60</v>
      </c>
      <c r="I87" s="6" t="s">
        <v>44</v>
      </c>
      <c r="J87" s="6" t="s">
        <v>97</v>
      </c>
      <c r="K87" s="6" t="s">
        <v>35</v>
      </c>
    </row>
    <row r="88" ht="15.75" customHeight="1">
      <c r="A88" s="6" t="s">
        <v>460</v>
      </c>
      <c r="B88" s="6" t="s">
        <v>461</v>
      </c>
      <c r="C88" s="6" t="s">
        <v>38</v>
      </c>
      <c r="D88" s="6" t="s">
        <v>39</v>
      </c>
      <c r="E88" s="6" t="s">
        <v>462</v>
      </c>
      <c r="F88" s="6" t="s">
        <v>463</v>
      </c>
      <c r="G88" s="6" t="s">
        <v>42</v>
      </c>
      <c r="H88" s="6" t="s">
        <v>60</v>
      </c>
      <c r="I88" s="6" t="s">
        <v>44</v>
      </c>
      <c r="J88" s="6" t="s">
        <v>256</v>
      </c>
      <c r="K88" s="6" t="s">
        <v>133</v>
      </c>
    </row>
    <row r="89" ht="15.75" customHeight="1">
      <c r="A89" s="6" t="s">
        <v>464</v>
      </c>
      <c r="B89" s="6" t="s">
        <v>465</v>
      </c>
      <c r="C89" s="6" t="s">
        <v>118</v>
      </c>
      <c r="D89" s="6" t="s">
        <v>127</v>
      </c>
      <c r="E89" s="6" t="s">
        <v>466</v>
      </c>
      <c r="F89" s="6" t="s">
        <v>467</v>
      </c>
      <c r="G89" s="6" t="s">
        <v>59</v>
      </c>
      <c r="H89" s="6" t="s">
        <v>60</v>
      </c>
      <c r="I89" s="6" t="s">
        <v>8</v>
      </c>
      <c r="J89" s="6" t="s">
        <v>468</v>
      </c>
      <c r="K89" s="6" t="s">
        <v>133</v>
      </c>
    </row>
    <row r="90" ht="15.75" customHeight="1">
      <c r="A90" s="6" t="s">
        <v>469</v>
      </c>
      <c r="B90" s="6" t="s">
        <v>470</v>
      </c>
      <c r="C90" s="6" t="s">
        <v>201</v>
      </c>
      <c r="D90" s="6" t="s">
        <v>56</v>
      </c>
      <c r="E90" s="6" t="s">
        <v>471</v>
      </c>
      <c r="F90" s="6" t="s">
        <v>472</v>
      </c>
      <c r="G90" s="6" t="s">
        <v>52</v>
      </c>
      <c r="H90" s="6" t="s">
        <v>60</v>
      </c>
      <c r="I90" s="6" t="s">
        <v>69</v>
      </c>
      <c r="J90" s="6" t="s">
        <v>70</v>
      </c>
      <c r="K90" s="6" t="s">
        <v>46</v>
      </c>
    </row>
    <row r="91" ht="15.75" customHeight="1">
      <c r="A91" s="6" t="s">
        <v>473</v>
      </c>
      <c r="B91" s="6" t="s">
        <v>474</v>
      </c>
      <c r="C91" s="6" t="s">
        <v>26</v>
      </c>
      <c r="D91" s="6" t="s">
        <v>56</v>
      </c>
      <c r="E91" s="6" t="s">
        <v>475</v>
      </c>
      <c r="F91" s="6" t="s">
        <v>476</v>
      </c>
      <c r="G91" s="6" t="s">
        <v>199</v>
      </c>
      <c r="H91" s="6" t="s">
        <v>121</v>
      </c>
      <c r="I91" s="6" t="s">
        <v>44</v>
      </c>
      <c r="J91" s="6" t="s">
        <v>295</v>
      </c>
      <c r="K91" s="6" t="s">
        <v>35</v>
      </c>
    </row>
    <row r="92" ht="15.75" customHeight="1">
      <c r="A92" s="6" t="s">
        <v>477</v>
      </c>
      <c r="B92" s="6" t="s">
        <v>336</v>
      </c>
      <c r="C92" s="6" t="s">
        <v>125</v>
      </c>
      <c r="D92" s="6" t="s">
        <v>28</v>
      </c>
      <c r="E92" s="6" t="s">
        <v>478</v>
      </c>
      <c r="F92" s="6" t="s">
        <v>479</v>
      </c>
      <c r="G92" s="6" t="s">
        <v>59</v>
      </c>
      <c r="H92" s="6" t="s">
        <v>43</v>
      </c>
      <c r="I92" s="6" t="s">
        <v>44</v>
      </c>
      <c r="J92" s="6" t="s">
        <v>34</v>
      </c>
      <c r="K92" s="6" t="s">
        <v>35</v>
      </c>
    </row>
    <row r="93" ht="15.75" customHeight="1">
      <c r="A93" s="6" t="s">
        <v>480</v>
      </c>
      <c r="B93" s="6" t="s">
        <v>481</v>
      </c>
      <c r="C93" s="6" t="s">
        <v>125</v>
      </c>
      <c r="D93" s="6" t="s">
        <v>171</v>
      </c>
      <c r="E93" s="6" t="s">
        <v>482</v>
      </c>
      <c r="F93" s="6" t="s">
        <v>483</v>
      </c>
      <c r="G93" s="6" t="s">
        <v>31</v>
      </c>
      <c r="H93" s="6" t="s">
        <v>43</v>
      </c>
      <c r="I93" s="6" t="s">
        <v>33</v>
      </c>
      <c r="J93" s="6" t="s">
        <v>132</v>
      </c>
      <c r="K93" s="6" t="s">
        <v>133</v>
      </c>
    </row>
    <row r="94" ht="15.75" customHeight="1">
      <c r="A94" s="6" t="s">
        <v>484</v>
      </c>
      <c r="B94" s="6" t="s">
        <v>485</v>
      </c>
      <c r="C94" s="6" t="s">
        <v>118</v>
      </c>
      <c r="D94" s="6" t="s">
        <v>171</v>
      </c>
      <c r="E94" s="6" t="s">
        <v>486</v>
      </c>
      <c r="F94" s="6" t="s">
        <v>487</v>
      </c>
      <c r="G94" s="6" t="s">
        <v>76</v>
      </c>
      <c r="H94" s="6" t="s">
        <v>60</v>
      </c>
      <c r="I94" s="6" t="s">
        <v>8</v>
      </c>
      <c r="J94" s="6" t="s">
        <v>232</v>
      </c>
      <c r="K94" s="6" t="s">
        <v>46</v>
      </c>
    </row>
    <row r="95" ht="15.75" customHeight="1">
      <c r="A95" s="6" t="s">
        <v>488</v>
      </c>
      <c r="B95" s="6" t="s">
        <v>489</v>
      </c>
      <c r="C95" s="6" t="s">
        <v>118</v>
      </c>
      <c r="D95" s="6" t="s">
        <v>73</v>
      </c>
      <c r="E95" s="6" t="s">
        <v>490</v>
      </c>
      <c r="F95" s="6" t="s">
        <v>491</v>
      </c>
      <c r="G95" s="6" t="s">
        <v>108</v>
      </c>
      <c r="H95" s="6" t="s">
        <v>121</v>
      </c>
      <c r="I95" s="6" t="s">
        <v>69</v>
      </c>
      <c r="J95" s="6" t="s">
        <v>247</v>
      </c>
      <c r="K95" s="6" t="s">
        <v>46</v>
      </c>
    </row>
    <row r="96" ht="15.75" customHeight="1">
      <c r="A96" s="6" t="s">
        <v>492</v>
      </c>
      <c r="B96" s="6" t="s">
        <v>493</v>
      </c>
      <c r="C96" s="6" t="s">
        <v>118</v>
      </c>
      <c r="D96" s="6" t="s">
        <v>127</v>
      </c>
      <c r="E96" s="6" t="s">
        <v>494</v>
      </c>
      <c r="F96" s="6" t="s">
        <v>495</v>
      </c>
      <c r="G96" s="6" t="s">
        <v>59</v>
      </c>
      <c r="H96" s="6" t="s">
        <v>121</v>
      </c>
      <c r="I96" s="6" t="s">
        <v>69</v>
      </c>
      <c r="J96" s="6" t="s">
        <v>132</v>
      </c>
    </row>
    <row r="97" ht="15.75" customHeight="1">
      <c r="A97" s="6" t="s">
        <v>140</v>
      </c>
      <c r="B97" s="6" t="s">
        <v>269</v>
      </c>
      <c r="C97" s="6" t="s">
        <v>49</v>
      </c>
      <c r="D97" s="6" t="s">
        <v>56</v>
      </c>
      <c r="E97" s="6" t="s">
        <v>496</v>
      </c>
      <c r="G97" s="6" t="s">
        <v>199</v>
      </c>
      <c r="H97" s="6" t="s">
        <v>60</v>
      </c>
      <c r="I97" s="6" t="s">
        <v>69</v>
      </c>
      <c r="J97" s="6" t="s">
        <v>70</v>
      </c>
      <c r="K97" s="6" t="s">
        <v>133</v>
      </c>
    </row>
    <row r="98" ht="15.75" customHeight="1">
      <c r="A98" s="6" t="s">
        <v>497</v>
      </c>
      <c r="B98" s="6" t="s">
        <v>498</v>
      </c>
      <c r="C98" s="6" t="s">
        <v>38</v>
      </c>
      <c r="D98" s="6" t="s">
        <v>136</v>
      </c>
      <c r="E98" s="6" t="s">
        <v>499</v>
      </c>
      <c r="F98" s="6" t="s">
        <v>500</v>
      </c>
      <c r="G98" s="6" t="s">
        <v>42</v>
      </c>
      <c r="H98" s="6" t="s">
        <v>121</v>
      </c>
      <c r="I98" s="6" t="s">
        <v>44</v>
      </c>
      <c r="J98" s="6" t="s">
        <v>380</v>
      </c>
      <c r="K98" s="6" t="s">
        <v>133</v>
      </c>
    </row>
    <row r="99" ht="15.75" customHeight="1">
      <c r="A99" s="6" t="s">
        <v>501</v>
      </c>
      <c r="B99" s="6" t="s">
        <v>502</v>
      </c>
      <c r="C99" s="6" t="s">
        <v>201</v>
      </c>
      <c r="D99" s="6" t="s">
        <v>83</v>
      </c>
      <c r="E99" s="6" t="s">
        <v>503</v>
      </c>
      <c r="F99" s="6" t="s">
        <v>504</v>
      </c>
      <c r="G99" s="6" t="s">
        <v>199</v>
      </c>
      <c r="H99" s="6" t="s">
        <v>32</v>
      </c>
      <c r="I99" s="6" t="s">
        <v>8</v>
      </c>
      <c r="J99" s="6" t="s">
        <v>505</v>
      </c>
      <c r="K99" s="6" t="s">
        <v>46</v>
      </c>
    </row>
    <row r="100" ht="15.75" customHeight="1">
      <c r="A100" s="6" t="s">
        <v>506</v>
      </c>
      <c r="B100" s="6" t="s">
        <v>161</v>
      </c>
      <c r="C100" s="6" t="s">
        <v>104</v>
      </c>
      <c r="D100" s="6" t="s">
        <v>83</v>
      </c>
      <c r="E100" s="6" t="s">
        <v>507</v>
      </c>
      <c r="F100" s="6" t="s">
        <v>508</v>
      </c>
      <c r="G100" s="6" t="s">
        <v>509</v>
      </c>
      <c r="H100" s="6" t="s">
        <v>43</v>
      </c>
      <c r="I100" s="6" t="s">
        <v>44</v>
      </c>
      <c r="J100" s="6" t="s">
        <v>380</v>
      </c>
      <c r="K100" s="6" t="s">
        <v>46</v>
      </c>
    </row>
    <row r="101" ht="15.75" customHeight="1">
      <c r="A101" s="6" t="s">
        <v>510</v>
      </c>
      <c r="B101" s="6" t="s">
        <v>511</v>
      </c>
      <c r="C101" s="6" t="s">
        <v>180</v>
      </c>
      <c r="D101" s="6" t="s">
        <v>73</v>
      </c>
      <c r="E101" s="6" t="s">
        <v>512</v>
      </c>
      <c r="F101" s="6" t="s">
        <v>513</v>
      </c>
      <c r="G101" s="6" t="s">
        <v>42</v>
      </c>
      <c r="H101" s="6" t="s">
        <v>43</v>
      </c>
      <c r="I101" s="6" t="s">
        <v>8</v>
      </c>
      <c r="J101" s="6" t="s">
        <v>204</v>
      </c>
      <c r="K101" s="6" t="s">
        <v>133</v>
      </c>
    </row>
    <row r="102" ht="15.75" customHeight="1">
      <c r="A102" s="6" t="s">
        <v>514</v>
      </c>
      <c r="B102" s="6" t="s">
        <v>515</v>
      </c>
      <c r="C102" s="6" t="s">
        <v>180</v>
      </c>
      <c r="D102" s="6" t="s">
        <v>171</v>
      </c>
      <c r="E102" s="6" t="s">
        <v>516</v>
      </c>
      <c r="F102" s="6" t="s">
        <v>517</v>
      </c>
      <c r="G102" s="6" t="s">
        <v>52</v>
      </c>
      <c r="H102" s="6" t="s">
        <v>60</v>
      </c>
      <c r="I102" s="6" t="s">
        <v>69</v>
      </c>
      <c r="J102" s="6" t="s">
        <v>157</v>
      </c>
    </row>
    <row r="103" ht="15.75" customHeight="1">
      <c r="A103" s="6" t="s">
        <v>518</v>
      </c>
      <c r="B103" s="6" t="s">
        <v>519</v>
      </c>
      <c r="C103" s="6" t="s">
        <v>225</v>
      </c>
      <c r="D103" s="6" t="s">
        <v>136</v>
      </c>
      <c r="E103" s="6" t="s">
        <v>520</v>
      </c>
      <c r="F103" s="6" t="s">
        <v>521</v>
      </c>
      <c r="G103" s="6" t="s">
        <v>108</v>
      </c>
      <c r="H103" s="6" t="s">
        <v>60</v>
      </c>
      <c r="I103" s="6" t="s">
        <v>33</v>
      </c>
      <c r="J103" s="6" t="s">
        <v>34</v>
      </c>
      <c r="K103" s="6" t="s">
        <v>35</v>
      </c>
    </row>
    <row r="104" ht="15.75" customHeight="1">
      <c r="A104" s="6" t="s">
        <v>522</v>
      </c>
      <c r="B104" s="6" t="s">
        <v>523</v>
      </c>
      <c r="C104" s="6" t="s">
        <v>118</v>
      </c>
      <c r="D104" s="6" t="s">
        <v>127</v>
      </c>
      <c r="E104" s="6" t="s">
        <v>524</v>
      </c>
      <c r="F104" s="6" t="s">
        <v>525</v>
      </c>
      <c r="G104" s="6" t="s">
        <v>67</v>
      </c>
      <c r="H104" s="6" t="s">
        <v>121</v>
      </c>
      <c r="I104" s="6" t="s">
        <v>44</v>
      </c>
      <c r="J104" s="6" t="s">
        <v>247</v>
      </c>
      <c r="K104" s="6" t="s">
        <v>133</v>
      </c>
    </row>
    <row r="105" ht="15.75" customHeight="1">
      <c r="A105" s="6" t="s">
        <v>526</v>
      </c>
      <c r="B105" s="6" t="s">
        <v>527</v>
      </c>
      <c r="C105" s="6" t="s">
        <v>125</v>
      </c>
      <c r="D105" s="6" t="s">
        <v>171</v>
      </c>
      <c r="E105" s="6" t="s">
        <v>528</v>
      </c>
      <c r="F105" s="6" t="s">
        <v>529</v>
      </c>
      <c r="G105" s="6" t="s">
        <v>42</v>
      </c>
      <c r="H105" s="6" t="s">
        <v>121</v>
      </c>
      <c r="I105" s="6" t="s">
        <v>33</v>
      </c>
      <c r="J105" s="6" t="s">
        <v>157</v>
      </c>
      <c r="K105" s="6" t="s">
        <v>133</v>
      </c>
    </row>
    <row r="106" ht="15.75" customHeight="1">
      <c r="A106" s="6" t="s">
        <v>530</v>
      </c>
      <c r="B106" s="6" t="s">
        <v>531</v>
      </c>
      <c r="C106" s="6" t="s">
        <v>38</v>
      </c>
      <c r="D106" s="6" t="s">
        <v>171</v>
      </c>
      <c r="E106" s="6" t="s">
        <v>532</v>
      </c>
      <c r="F106" s="6" t="s">
        <v>533</v>
      </c>
      <c r="G106" s="6" t="s">
        <v>52</v>
      </c>
      <c r="H106" s="6" t="s">
        <v>121</v>
      </c>
      <c r="I106" s="6" t="s">
        <v>8</v>
      </c>
      <c r="J106" s="6" t="s">
        <v>109</v>
      </c>
      <c r="K106" s="6" t="s">
        <v>133</v>
      </c>
    </row>
    <row r="107" ht="15.75" customHeight="1">
      <c r="A107" s="6" t="s">
        <v>19</v>
      </c>
      <c r="B107" s="6" t="s">
        <v>110</v>
      </c>
      <c r="C107" s="6" t="s">
        <v>38</v>
      </c>
      <c r="D107" s="6" t="s">
        <v>28</v>
      </c>
      <c r="E107" s="6" t="s">
        <v>111</v>
      </c>
      <c r="F107" s="6" t="s">
        <v>112</v>
      </c>
      <c r="G107" s="6" t="s">
        <v>31</v>
      </c>
      <c r="H107" s="6" t="s">
        <v>68</v>
      </c>
      <c r="I107" s="6" t="s">
        <v>8</v>
      </c>
      <c r="J107" s="6" t="s">
        <v>343</v>
      </c>
    </row>
    <row r="108" ht="15.75" customHeight="1">
      <c r="A108" s="6" t="s">
        <v>534</v>
      </c>
      <c r="B108" s="6" t="s">
        <v>145</v>
      </c>
      <c r="C108" s="6" t="s">
        <v>82</v>
      </c>
      <c r="D108" s="6" t="s">
        <v>127</v>
      </c>
      <c r="E108" s="6" t="s">
        <v>535</v>
      </c>
      <c r="F108" s="6" t="s">
        <v>536</v>
      </c>
      <c r="G108" s="6" t="s">
        <v>76</v>
      </c>
      <c r="H108" s="6" t="s">
        <v>32</v>
      </c>
      <c r="I108" s="6" t="s">
        <v>33</v>
      </c>
      <c r="J108" s="6" t="s">
        <v>380</v>
      </c>
    </row>
    <row r="109" ht="15.75" customHeight="1">
      <c r="A109" s="6" t="s">
        <v>537</v>
      </c>
      <c r="B109" s="6" t="s">
        <v>538</v>
      </c>
      <c r="C109" s="6" t="s">
        <v>225</v>
      </c>
      <c r="D109" s="6" t="s">
        <v>127</v>
      </c>
      <c r="E109" s="6" t="s">
        <v>539</v>
      </c>
      <c r="F109" s="6" t="s">
        <v>540</v>
      </c>
      <c r="G109" s="6" t="s">
        <v>52</v>
      </c>
      <c r="H109" s="6" t="s">
        <v>32</v>
      </c>
      <c r="I109" s="6" t="s">
        <v>8</v>
      </c>
      <c r="J109" s="6" t="s">
        <v>189</v>
      </c>
      <c r="K109" s="6" t="s">
        <v>35</v>
      </c>
    </row>
    <row r="110" ht="15.75" customHeight="1">
      <c r="A110" s="6" t="s">
        <v>541</v>
      </c>
      <c r="B110" s="6" t="s">
        <v>253</v>
      </c>
      <c r="C110" s="6" t="s">
        <v>225</v>
      </c>
      <c r="D110" s="6" t="s">
        <v>83</v>
      </c>
      <c r="E110" s="6" t="s">
        <v>542</v>
      </c>
      <c r="F110" s="6" t="s">
        <v>543</v>
      </c>
      <c r="G110" s="6" t="s">
        <v>67</v>
      </c>
      <c r="H110" s="6" t="s">
        <v>43</v>
      </c>
      <c r="I110" s="6" t="s">
        <v>69</v>
      </c>
      <c r="J110" s="6" t="s">
        <v>247</v>
      </c>
      <c r="K110" s="6" t="s">
        <v>133</v>
      </c>
    </row>
    <row r="111" ht="15.75" customHeight="1">
      <c r="A111" s="6" t="s">
        <v>544</v>
      </c>
      <c r="B111" s="6" t="s">
        <v>545</v>
      </c>
      <c r="C111" s="6" t="s">
        <v>38</v>
      </c>
      <c r="D111" s="6" t="s">
        <v>39</v>
      </c>
      <c r="E111" s="6" t="s">
        <v>546</v>
      </c>
      <c r="F111" s="6" t="s">
        <v>547</v>
      </c>
      <c r="G111" s="6" t="s">
        <v>59</v>
      </c>
      <c r="H111" s="6" t="s">
        <v>68</v>
      </c>
      <c r="I111" s="6" t="s">
        <v>33</v>
      </c>
      <c r="J111" s="6" t="s">
        <v>449</v>
      </c>
      <c r="K111" s="6" t="s">
        <v>35</v>
      </c>
    </row>
    <row r="112" ht="15.75" customHeight="1">
      <c r="A112" s="6" t="s">
        <v>548</v>
      </c>
      <c r="B112" s="6" t="s">
        <v>549</v>
      </c>
      <c r="C112" s="6" t="s">
        <v>180</v>
      </c>
      <c r="D112" s="6" t="s">
        <v>73</v>
      </c>
      <c r="E112" s="6" t="s">
        <v>550</v>
      </c>
      <c r="F112" s="6" t="s">
        <v>551</v>
      </c>
      <c r="G112" s="6" t="s">
        <v>67</v>
      </c>
      <c r="H112" s="6" t="s">
        <v>121</v>
      </c>
      <c r="I112" s="6" t="s">
        <v>69</v>
      </c>
      <c r="J112" s="6" t="s">
        <v>194</v>
      </c>
    </row>
    <row r="113" ht="15.75" customHeight="1">
      <c r="A113" s="6" t="s">
        <v>78</v>
      </c>
      <c r="B113" s="6" t="s">
        <v>265</v>
      </c>
      <c r="C113" s="6" t="s">
        <v>38</v>
      </c>
      <c r="D113" s="6" t="s">
        <v>136</v>
      </c>
      <c r="E113" s="6" t="s">
        <v>266</v>
      </c>
      <c r="F113" s="6" t="s">
        <v>267</v>
      </c>
      <c r="G113" s="6" t="s">
        <v>31</v>
      </c>
      <c r="H113" s="6" t="s">
        <v>68</v>
      </c>
      <c r="I113" s="6" t="s">
        <v>8</v>
      </c>
      <c r="J113" s="6" t="s">
        <v>256</v>
      </c>
    </row>
    <row r="114" ht="15.75" customHeight="1">
      <c r="A114" s="6" t="s">
        <v>552</v>
      </c>
      <c r="B114" s="6" t="s">
        <v>553</v>
      </c>
      <c r="C114" s="6" t="s">
        <v>125</v>
      </c>
      <c r="D114" s="6" t="s">
        <v>39</v>
      </c>
      <c r="E114" s="6" t="s">
        <v>554</v>
      </c>
      <c r="F114" s="6" t="s">
        <v>555</v>
      </c>
      <c r="H114" s="6" t="s">
        <v>43</v>
      </c>
      <c r="I114" s="6" t="s">
        <v>33</v>
      </c>
      <c r="J114" s="6" t="s">
        <v>189</v>
      </c>
    </row>
    <row r="115" ht="15.75" customHeight="1">
      <c r="A115" s="6" t="s">
        <v>556</v>
      </c>
      <c r="B115" s="6" t="s">
        <v>557</v>
      </c>
      <c r="C115" s="6" t="s">
        <v>49</v>
      </c>
      <c r="D115" s="6" t="s">
        <v>56</v>
      </c>
      <c r="E115" s="6" t="s">
        <v>558</v>
      </c>
      <c r="F115" s="6" t="s">
        <v>559</v>
      </c>
      <c r="G115" s="6" t="s">
        <v>108</v>
      </c>
      <c r="H115" s="6" t="s">
        <v>43</v>
      </c>
      <c r="I115" s="6" t="s">
        <v>8</v>
      </c>
      <c r="J115" s="6" t="s">
        <v>168</v>
      </c>
      <c r="K115" s="6" t="s">
        <v>46</v>
      </c>
    </row>
    <row r="116" ht="15.75" customHeight="1">
      <c r="A116" s="6" t="s">
        <v>560</v>
      </c>
      <c r="B116" s="6" t="s">
        <v>561</v>
      </c>
      <c r="C116" s="6" t="s">
        <v>125</v>
      </c>
      <c r="D116" s="6" t="s">
        <v>136</v>
      </c>
      <c r="E116" s="6" t="s">
        <v>562</v>
      </c>
      <c r="F116" s="6" t="s">
        <v>563</v>
      </c>
      <c r="G116" s="6" t="s">
        <v>199</v>
      </c>
      <c r="H116" s="6" t="s">
        <v>43</v>
      </c>
      <c r="I116" s="6" t="s">
        <v>33</v>
      </c>
      <c r="J116" s="6" t="s">
        <v>232</v>
      </c>
      <c r="K116" s="6" t="s">
        <v>46</v>
      </c>
    </row>
    <row r="117" ht="15.75" customHeight="1">
      <c r="A117" s="6" t="s">
        <v>564</v>
      </c>
      <c r="B117" s="6" t="s">
        <v>565</v>
      </c>
      <c r="C117" s="6" t="s">
        <v>201</v>
      </c>
      <c r="D117" s="6" t="s">
        <v>136</v>
      </c>
      <c r="E117" s="6" t="s">
        <v>566</v>
      </c>
      <c r="F117" s="6" t="s">
        <v>567</v>
      </c>
      <c r="G117" s="6" t="s">
        <v>31</v>
      </c>
      <c r="H117" s="6" t="s">
        <v>60</v>
      </c>
      <c r="I117" s="6" t="s">
        <v>33</v>
      </c>
      <c r="J117" s="6" t="s">
        <v>449</v>
      </c>
      <c r="K117" s="6" t="s">
        <v>46</v>
      </c>
    </row>
    <row r="118" ht="15.75" customHeight="1">
      <c r="A118" s="6" t="s">
        <v>568</v>
      </c>
      <c r="B118" s="6" t="s">
        <v>485</v>
      </c>
      <c r="C118" s="6" t="s">
        <v>82</v>
      </c>
      <c r="D118" s="6" t="s">
        <v>39</v>
      </c>
      <c r="E118" s="6" t="s">
        <v>569</v>
      </c>
      <c r="F118" s="6" t="s">
        <v>570</v>
      </c>
      <c r="G118" s="6" t="s">
        <v>108</v>
      </c>
      <c r="H118" s="6" t="s">
        <v>32</v>
      </c>
      <c r="I118" s="6" t="s">
        <v>8</v>
      </c>
      <c r="J118" s="6" t="s">
        <v>34</v>
      </c>
      <c r="K118" s="6" t="s">
        <v>133</v>
      </c>
    </row>
    <row r="119" ht="15.75" customHeight="1">
      <c r="A119" s="6" t="s">
        <v>571</v>
      </c>
      <c r="B119" s="6" t="s">
        <v>572</v>
      </c>
      <c r="C119" s="6" t="s">
        <v>125</v>
      </c>
      <c r="D119" s="6" t="s">
        <v>73</v>
      </c>
      <c r="E119" s="6" t="s">
        <v>573</v>
      </c>
      <c r="F119" s="6" t="s">
        <v>574</v>
      </c>
      <c r="G119" s="6" t="s">
        <v>42</v>
      </c>
      <c r="H119" s="6" t="s">
        <v>121</v>
      </c>
      <c r="I119" s="6" t="s">
        <v>44</v>
      </c>
      <c r="J119" s="6" t="s">
        <v>148</v>
      </c>
      <c r="K119" s="6" t="s">
        <v>133</v>
      </c>
    </row>
    <row r="120" ht="15.75" customHeight="1">
      <c r="A120" s="6" t="s">
        <v>575</v>
      </c>
      <c r="B120" s="6" t="s">
        <v>576</v>
      </c>
      <c r="C120" s="6" t="s">
        <v>26</v>
      </c>
      <c r="D120" s="6" t="s">
        <v>39</v>
      </c>
      <c r="E120" s="6" t="s">
        <v>577</v>
      </c>
      <c r="F120" s="6" t="s">
        <v>578</v>
      </c>
      <c r="G120" s="6" t="s">
        <v>42</v>
      </c>
      <c r="H120" s="6" t="s">
        <v>121</v>
      </c>
      <c r="I120" s="6" t="s">
        <v>69</v>
      </c>
      <c r="J120" s="6" t="s">
        <v>148</v>
      </c>
      <c r="K120" s="6" t="s">
        <v>133</v>
      </c>
    </row>
    <row r="121" ht="15.75" customHeight="1">
      <c r="A121" s="6" t="s">
        <v>181</v>
      </c>
      <c r="B121" s="6" t="s">
        <v>353</v>
      </c>
      <c r="C121" s="6" t="s">
        <v>38</v>
      </c>
      <c r="D121" s="6" t="s">
        <v>171</v>
      </c>
      <c r="E121" s="6" t="s">
        <v>579</v>
      </c>
      <c r="F121" s="6" t="s">
        <v>580</v>
      </c>
      <c r="G121" s="6" t="s">
        <v>52</v>
      </c>
      <c r="I121" s="6" t="s">
        <v>69</v>
      </c>
      <c r="J121" s="6" t="s">
        <v>189</v>
      </c>
      <c r="K121" s="6" t="s">
        <v>133</v>
      </c>
    </row>
    <row r="122" ht="15.75" customHeight="1">
      <c r="A122" s="6" t="s">
        <v>581</v>
      </c>
      <c r="B122" s="6" t="s">
        <v>280</v>
      </c>
      <c r="C122" s="6" t="s">
        <v>125</v>
      </c>
      <c r="D122" s="6" t="s">
        <v>127</v>
      </c>
      <c r="E122" s="6" t="s">
        <v>582</v>
      </c>
      <c r="F122" s="6" t="s">
        <v>583</v>
      </c>
      <c r="G122" s="6" t="s">
        <v>31</v>
      </c>
      <c r="H122" s="6" t="s">
        <v>121</v>
      </c>
      <c r="I122" s="6" t="s">
        <v>8</v>
      </c>
      <c r="J122" s="6" t="s">
        <v>449</v>
      </c>
      <c r="K122" s="6" t="s">
        <v>133</v>
      </c>
    </row>
    <row r="123" ht="15.75" customHeight="1">
      <c r="A123" s="6" t="s">
        <v>154</v>
      </c>
      <c r="B123" s="6" t="s">
        <v>435</v>
      </c>
      <c r="C123" s="6" t="s">
        <v>201</v>
      </c>
      <c r="D123" s="6" t="s">
        <v>171</v>
      </c>
      <c r="E123" s="6" t="s">
        <v>584</v>
      </c>
      <c r="G123" s="6" t="s">
        <v>199</v>
      </c>
      <c r="H123" s="6" t="s">
        <v>68</v>
      </c>
      <c r="I123" s="6" t="s">
        <v>69</v>
      </c>
      <c r="J123" s="6" t="s">
        <v>241</v>
      </c>
      <c r="K123" s="6" t="s">
        <v>133</v>
      </c>
    </row>
    <row r="124" ht="15.75" customHeight="1">
      <c r="A124" s="6" t="s">
        <v>585</v>
      </c>
      <c r="B124" s="6" t="s">
        <v>191</v>
      </c>
      <c r="C124" s="6" t="s">
        <v>38</v>
      </c>
      <c r="D124" s="6" t="s">
        <v>39</v>
      </c>
      <c r="E124" s="6" t="s">
        <v>586</v>
      </c>
      <c r="F124" s="6" t="s">
        <v>587</v>
      </c>
      <c r="G124" s="6" t="s">
        <v>59</v>
      </c>
      <c r="H124" s="6" t="s">
        <v>43</v>
      </c>
      <c r="I124" s="6" t="s">
        <v>33</v>
      </c>
      <c r="J124" s="6" t="s">
        <v>343</v>
      </c>
      <c r="K124" s="6" t="s">
        <v>133</v>
      </c>
    </row>
    <row r="125" ht="15.75" customHeight="1">
      <c r="A125" s="6" t="s">
        <v>588</v>
      </c>
      <c r="B125" s="6" t="s">
        <v>589</v>
      </c>
      <c r="C125" s="6" t="s">
        <v>38</v>
      </c>
      <c r="D125" s="6" t="s">
        <v>127</v>
      </c>
      <c r="E125" s="6" t="s">
        <v>590</v>
      </c>
      <c r="F125" s="6" t="s">
        <v>591</v>
      </c>
      <c r="G125" s="6" t="s">
        <v>199</v>
      </c>
      <c r="H125" s="6" t="s">
        <v>68</v>
      </c>
      <c r="I125" s="6" t="s">
        <v>33</v>
      </c>
      <c r="J125" s="6" t="s">
        <v>247</v>
      </c>
      <c r="K125" s="6" t="s">
        <v>46</v>
      </c>
    </row>
    <row r="126" ht="15.75" customHeight="1">
      <c r="A126" s="6" t="s">
        <v>592</v>
      </c>
      <c r="B126" s="6" t="s">
        <v>593</v>
      </c>
      <c r="C126" s="6" t="s">
        <v>125</v>
      </c>
      <c r="D126" s="6" t="s">
        <v>171</v>
      </c>
      <c r="E126" s="6" t="s">
        <v>594</v>
      </c>
      <c r="F126" s="6" t="s">
        <v>595</v>
      </c>
      <c r="G126" s="6" t="s">
        <v>31</v>
      </c>
      <c r="H126" s="6" t="s">
        <v>43</v>
      </c>
      <c r="I126" s="6" t="s">
        <v>33</v>
      </c>
      <c r="J126" s="6" t="s">
        <v>247</v>
      </c>
      <c r="K126" s="6" t="s">
        <v>133</v>
      </c>
    </row>
    <row r="127" ht="15.75" customHeight="1">
      <c r="A127" s="6" t="s">
        <v>88</v>
      </c>
      <c r="B127" s="6" t="s">
        <v>179</v>
      </c>
      <c r="C127" s="6" t="s">
        <v>26</v>
      </c>
      <c r="D127" s="6" t="s">
        <v>73</v>
      </c>
      <c r="E127" s="6" t="s">
        <v>329</v>
      </c>
      <c r="F127" s="6" t="s">
        <v>330</v>
      </c>
      <c r="G127" s="6" t="s">
        <v>199</v>
      </c>
      <c r="H127" s="6" t="s">
        <v>68</v>
      </c>
      <c r="I127" s="6" t="s">
        <v>33</v>
      </c>
      <c r="J127" s="6" t="s">
        <v>53</v>
      </c>
      <c r="K127" s="6" t="s">
        <v>133</v>
      </c>
    </row>
    <row r="128" ht="15.75" customHeight="1">
      <c r="A128" s="6" t="s">
        <v>596</v>
      </c>
      <c r="B128" s="6" t="s">
        <v>597</v>
      </c>
      <c r="C128" s="6" t="s">
        <v>49</v>
      </c>
      <c r="D128" s="6" t="s">
        <v>171</v>
      </c>
      <c r="E128" s="6" t="s">
        <v>598</v>
      </c>
      <c r="F128" s="6" t="s">
        <v>599</v>
      </c>
      <c r="G128" s="6" t="s">
        <v>76</v>
      </c>
      <c r="H128" s="6" t="s">
        <v>121</v>
      </c>
      <c r="I128" s="6" t="s">
        <v>69</v>
      </c>
      <c r="J128" s="6" t="s">
        <v>61</v>
      </c>
    </row>
    <row r="129" ht="15.75" customHeight="1">
      <c r="A129" s="6" t="s">
        <v>600</v>
      </c>
      <c r="B129" s="6" t="s">
        <v>336</v>
      </c>
      <c r="C129" s="6" t="s">
        <v>118</v>
      </c>
      <c r="D129" s="6" t="s">
        <v>28</v>
      </c>
      <c r="E129" s="6" t="s">
        <v>601</v>
      </c>
      <c r="F129" s="6" t="s">
        <v>602</v>
      </c>
      <c r="G129" s="6" t="s">
        <v>52</v>
      </c>
      <c r="H129" s="6" t="s">
        <v>43</v>
      </c>
      <c r="I129" s="6" t="s">
        <v>33</v>
      </c>
      <c r="J129" s="6" t="s">
        <v>449</v>
      </c>
      <c r="K129" s="6" t="s">
        <v>133</v>
      </c>
    </row>
    <row r="130" ht="15.75" customHeight="1">
      <c r="A130" s="6" t="s">
        <v>603</v>
      </c>
      <c r="B130" s="6" t="s">
        <v>604</v>
      </c>
      <c r="C130" s="6" t="s">
        <v>26</v>
      </c>
      <c r="D130" s="6" t="s">
        <v>83</v>
      </c>
      <c r="E130" s="6" t="s">
        <v>605</v>
      </c>
      <c r="F130" s="6" t="s">
        <v>606</v>
      </c>
      <c r="G130" s="6" t="s">
        <v>42</v>
      </c>
      <c r="H130" s="6" t="s">
        <v>68</v>
      </c>
      <c r="I130" s="6" t="s">
        <v>69</v>
      </c>
      <c r="J130" s="6" t="s">
        <v>70</v>
      </c>
      <c r="K130" s="6" t="s">
        <v>35</v>
      </c>
    </row>
    <row r="131" ht="15.75" customHeight="1">
      <c r="A131" s="6" t="s">
        <v>607</v>
      </c>
      <c r="B131" s="6" t="s">
        <v>608</v>
      </c>
      <c r="C131" s="6" t="s">
        <v>64</v>
      </c>
      <c r="D131" s="6" t="s">
        <v>39</v>
      </c>
      <c r="E131" s="6" t="s">
        <v>609</v>
      </c>
      <c r="F131" s="6" t="s">
        <v>610</v>
      </c>
      <c r="G131" s="6" t="s">
        <v>67</v>
      </c>
      <c r="H131" s="6" t="s">
        <v>121</v>
      </c>
      <c r="I131" s="6" t="s">
        <v>44</v>
      </c>
      <c r="J131" s="6" t="s">
        <v>189</v>
      </c>
      <c r="K131" s="6" t="s">
        <v>133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0"/>
  </cols>
  <sheetData>
    <row r="1">
      <c r="A1" s="3" t="s">
        <v>1</v>
      </c>
    </row>
    <row r="2">
      <c r="A2" s="5" t="s">
        <v>17</v>
      </c>
    </row>
    <row r="4">
      <c r="A4" s="7" t="s">
        <v>27</v>
      </c>
      <c r="B4" s="6">
        <f>COUNTA(Clean_Contacts!A2:A131)</f>
        <v>130</v>
      </c>
    </row>
    <row r="5">
      <c r="A5" s="7" t="s">
        <v>87</v>
      </c>
      <c r="B5" s="6">
        <f>COUNTIF(Issue_Log!F2:F14,"Open")</f>
        <v>12</v>
      </c>
    </row>
    <row r="7">
      <c r="A7" s="8" t="s">
        <v>106</v>
      </c>
      <c r="B7" s="8" t="s">
        <v>91</v>
      </c>
    </row>
    <row r="8">
      <c r="A8" s="4" t="s">
        <v>21</v>
      </c>
      <c r="B8" s="6">
        <f>COUNTIF(Issue_Log!$C$2:$C$14,A8)</f>
        <v>3</v>
      </c>
    </row>
    <row r="9">
      <c r="A9" s="4" t="s">
        <v>94</v>
      </c>
      <c r="B9" s="6">
        <f>COUNTIF(Issue_Log!$C$2:$C$14,A9)</f>
        <v>5</v>
      </c>
    </row>
    <row r="10">
      <c r="A10" s="4" t="s">
        <v>131</v>
      </c>
      <c r="B10" s="6">
        <f>COUNTIF(Issue_Log!$C$2:$C$14,A10)</f>
        <v>4</v>
      </c>
    </row>
    <row r="11">
      <c r="A11" s="9" t="s">
        <v>144</v>
      </c>
      <c r="B11" s="10">
        <f>SUM(B8:B10)</f>
        <v>12</v>
      </c>
    </row>
    <row r="13">
      <c r="A13" s="4" t="s">
        <v>209</v>
      </c>
      <c r="B13" s="6" t="str">
        <f>IF(B5=B11,"PASS","CHECK")</f>
        <v>PASS</v>
      </c>
    </row>
    <row r="15">
      <c r="A15" s="9" t="s">
        <v>212</v>
      </c>
    </row>
    <row r="16">
      <c r="A16" s="11" t="s">
        <v>215</v>
      </c>
    </row>
  </sheetData>
  <mergeCells count="2">
    <mergeCell ref="A1:B1"/>
    <mergeCell ref="A16:B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9.75"/>
    <col customWidth="1" min="5" max="5" width="13.75"/>
  </cols>
  <sheetData>
    <row r="1">
      <c r="A1" s="2" t="s">
        <v>0</v>
      </c>
      <c r="B1" s="2" t="s">
        <v>2</v>
      </c>
      <c r="C1" s="2" t="s">
        <v>5</v>
      </c>
      <c r="D1" s="2" t="s">
        <v>7</v>
      </c>
      <c r="E1" s="2" t="s">
        <v>9</v>
      </c>
      <c r="F1" s="2" t="s">
        <v>11</v>
      </c>
    </row>
    <row r="2">
      <c r="A2" s="4" t="s">
        <v>15</v>
      </c>
      <c r="B2" s="4" t="s">
        <v>19</v>
      </c>
      <c r="C2" s="4" t="s">
        <v>21</v>
      </c>
      <c r="D2" s="4" t="s">
        <v>22</v>
      </c>
      <c r="E2" s="4" t="s">
        <v>23</v>
      </c>
      <c r="F2" s="4" t="s">
        <v>24</v>
      </c>
      <c r="H2" s="6">
        <f>COUNTIF(F2:F14,"Open")</f>
        <v>12</v>
      </c>
    </row>
    <row r="3">
      <c r="A3" s="4" t="s">
        <v>77</v>
      </c>
      <c r="B3" s="4" t="s">
        <v>78</v>
      </c>
      <c r="C3" s="4" t="s">
        <v>21</v>
      </c>
      <c r="D3" s="4" t="s">
        <v>79</v>
      </c>
      <c r="E3" s="4" t="s">
        <v>23</v>
      </c>
      <c r="F3" s="4" t="s">
        <v>24</v>
      </c>
    </row>
    <row r="4">
      <c r="A4" s="4" t="s">
        <v>86</v>
      </c>
      <c r="B4" s="4" t="s">
        <v>88</v>
      </c>
      <c r="C4" s="4" t="s">
        <v>21</v>
      </c>
      <c r="D4" s="4" t="s">
        <v>89</v>
      </c>
      <c r="E4" s="4" t="s">
        <v>23</v>
      </c>
      <c r="F4" s="4" t="s">
        <v>24</v>
      </c>
      <c r="H4" s="4" t="s">
        <v>90</v>
      </c>
      <c r="I4" s="4" t="s">
        <v>91</v>
      </c>
    </row>
    <row r="5">
      <c r="A5" s="4" t="s">
        <v>92</v>
      </c>
      <c r="B5" s="4" t="s">
        <v>93</v>
      </c>
      <c r="C5" s="4" t="s">
        <v>94</v>
      </c>
      <c r="D5" s="4" t="s">
        <v>95</v>
      </c>
      <c r="E5" s="4" t="s">
        <v>96</v>
      </c>
      <c r="F5" s="4" t="s">
        <v>24</v>
      </c>
      <c r="H5" s="4" t="s">
        <v>21</v>
      </c>
      <c r="I5" s="6">
        <f t="shared" ref="I5:I7" si="1">COUNTIF($C$2:$C$14,H5)</f>
        <v>3</v>
      </c>
    </row>
    <row r="6">
      <c r="A6" s="4" t="s">
        <v>113</v>
      </c>
      <c r="B6" s="4" t="s">
        <v>114</v>
      </c>
      <c r="C6" s="4" t="s">
        <v>94</v>
      </c>
      <c r="D6" s="4" t="s">
        <v>115</v>
      </c>
      <c r="E6" s="4" t="s">
        <v>96</v>
      </c>
      <c r="F6" s="4" t="s">
        <v>24</v>
      </c>
      <c r="H6" s="4" t="s">
        <v>94</v>
      </c>
      <c r="I6" s="6">
        <f t="shared" si="1"/>
        <v>5</v>
      </c>
    </row>
    <row r="7">
      <c r="A7" s="4" t="s">
        <v>124</v>
      </c>
      <c r="B7" s="4" t="s">
        <v>126</v>
      </c>
      <c r="C7" s="4" t="s">
        <v>94</v>
      </c>
      <c r="D7" s="4" t="s">
        <v>130</v>
      </c>
      <c r="E7" s="4" t="s">
        <v>96</v>
      </c>
      <c r="F7" s="4" t="s">
        <v>24</v>
      </c>
      <c r="H7" s="4" t="s">
        <v>131</v>
      </c>
      <c r="I7" s="6">
        <f t="shared" si="1"/>
        <v>4</v>
      </c>
    </row>
    <row r="8">
      <c r="A8" s="4" t="s">
        <v>138</v>
      </c>
      <c r="B8" s="4" t="s">
        <v>140</v>
      </c>
      <c r="C8" s="4" t="s">
        <v>94</v>
      </c>
      <c r="D8" s="4" t="s">
        <v>141</v>
      </c>
      <c r="E8" s="4" t="s">
        <v>96</v>
      </c>
      <c r="F8" s="4" t="s">
        <v>24</v>
      </c>
      <c r="H8" s="4" t="s">
        <v>144</v>
      </c>
      <c r="I8" s="6">
        <f>SUM(I5:I7)</f>
        <v>12</v>
      </c>
    </row>
    <row r="9">
      <c r="A9" s="4" t="s">
        <v>153</v>
      </c>
      <c r="B9" s="4" t="s">
        <v>154</v>
      </c>
      <c r="C9" s="4" t="s">
        <v>94</v>
      </c>
      <c r="D9" s="4" t="s">
        <v>156</v>
      </c>
      <c r="E9" s="4" t="s">
        <v>96</v>
      </c>
      <c r="F9" s="4" t="s">
        <v>24</v>
      </c>
    </row>
    <row r="11">
      <c r="A11" s="4" t="s">
        <v>158</v>
      </c>
      <c r="B11" s="4" t="s">
        <v>160</v>
      </c>
      <c r="C11" s="4" t="s">
        <v>131</v>
      </c>
      <c r="D11" s="4" t="s">
        <v>162</v>
      </c>
      <c r="E11" s="4" t="s">
        <v>163</v>
      </c>
      <c r="F11" s="4" t="s">
        <v>24</v>
      </c>
    </row>
    <row r="12">
      <c r="A12" s="4" t="s">
        <v>166</v>
      </c>
      <c r="B12" s="4" t="s">
        <v>167</v>
      </c>
      <c r="C12" s="4" t="s">
        <v>131</v>
      </c>
      <c r="D12" s="4" t="s">
        <v>162</v>
      </c>
      <c r="E12" s="4" t="s">
        <v>163</v>
      </c>
      <c r="F12" s="4" t="s">
        <v>24</v>
      </c>
    </row>
    <row r="13">
      <c r="A13" s="4" t="s">
        <v>173</v>
      </c>
      <c r="B13" s="4" t="s">
        <v>175</v>
      </c>
      <c r="C13" s="4" t="s">
        <v>131</v>
      </c>
      <c r="D13" s="4" t="s">
        <v>162</v>
      </c>
      <c r="E13" s="4" t="s">
        <v>163</v>
      </c>
      <c r="F13" s="4" t="s">
        <v>24</v>
      </c>
    </row>
    <row r="14">
      <c r="A14" s="4" t="s">
        <v>178</v>
      </c>
      <c r="B14" s="4" t="s">
        <v>181</v>
      </c>
      <c r="C14" s="4" t="s">
        <v>131</v>
      </c>
      <c r="D14" s="4" t="s">
        <v>162</v>
      </c>
      <c r="E14" s="4" t="s">
        <v>163</v>
      </c>
      <c r="F14" s="4" t="s">
        <v>24</v>
      </c>
    </row>
  </sheetData>
  <drawing r:id="rId1"/>
</worksheet>
</file>